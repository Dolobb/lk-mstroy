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_ogtr1\Documents\пмворкк\"/>
    </mc:Choice>
  </mc:AlternateContent>
  <xr:revisionPtr revIDLastSave="0" documentId="13_ncr:1_{0BAFFD7A-D260-4E10-B119-71F03819C140}" xr6:coauthVersionLast="47" xr6:coauthVersionMax="47" xr10:uidLastSave="{00000000-0000-0000-0000-000000000000}"/>
  <bookViews>
    <workbookView xWindow="42315" yWindow="2895" windowWidth="28800" windowHeight="15435" activeTab="5" xr2:uid="{83EB66B2-B265-415E-9500-94BB72C39870}"/>
  </bookViews>
  <sheets>
    <sheet name="Логика КИП actual" sheetId="8" r:id="rId1"/>
    <sheet name="Чек-лист исправлений actual" sheetId="10" r:id="rId2"/>
    <sheet name="Все нормы config" sheetId="1" r:id="rId3"/>
    <sheet name="Нормы по марке config" sheetId="2" r:id="rId4"/>
    <sheet name="Тип по гос.№config" sheetId="3" r:id="rId5"/>
    <sheet name="Заказчик config" sheetId="4" r:id="rId6"/>
    <sheet name="Самосвалы объёмы config" sheetId="9" r:id="rId7"/>
    <sheet name="Google Sheets API config" sheetId="11" r:id="rId8"/>
    <sheet name="Интерфейс самосвалы done" sheetId="5" r:id="rId9"/>
    <sheet name="Своя навигация future" sheetId="7" r:id="rId10"/>
  </sheets>
  <externalReferences>
    <externalReference r:id="rId11"/>
  </externalReferences>
  <definedNames>
    <definedName name="_xlnm._FilterDatabase" localSheetId="2" hidden="1">'Все нормы config'!$A$1:$E$543</definedName>
    <definedName name="_xlnm._FilterDatabase" localSheetId="6" hidden="1">'Самосвалы объёмы config'!$A$1:$E$81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9" l="1"/>
  <c r="C54" i="9"/>
  <c r="C76" i="9"/>
  <c r="D543" i="1"/>
  <c r="D542" i="1"/>
  <c r="D541" i="1"/>
  <c r="D540" i="1"/>
  <c r="D539" i="1"/>
  <c r="D538" i="1"/>
  <c r="D537" i="1"/>
  <c r="D536" i="1"/>
  <c r="D535" i="1"/>
  <c r="D534" i="1"/>
  <c r="D532" i="1"/>
  <c r="D531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6" i="1"/>
  <c r="D475" i="1"/>
  <c r="D474" i="1"/>
  <c r="D473" i="1"/>
  <c r="D472" i="1"/>
  <c r="D471" i="1"/>
  <c r="D470" i="1"/>
  <c r="D469" i="1"/>
  <c r="D468" i="1"/>
  <c r="D467" i="1"/>
  <c r="D465" i="1"/>
  <c r="D464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K416" i="1"/>
  <c r="J416" i="1"/>
  <c r="D416" i="1"/>
  <c r="D415" i="1"/>
  <c r="D414" i="1"/>
  <c r="D413" i="1"/>
  <c r="D412" i="1"/>
  <c r="D411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0" i="1"/>
  <c r="D349" i="1"/>
  <c r="D348" i="1"/>
  <c r="D347" i="1"/>
  <c r="D346" i="1"/>
  <c r="D345" i="1"/>
  <c r="D344" i="1"/>
  <c r="D343" i="1"/>
  <c r="D341" i="1"/>
  <c r="D340" i="1"/>
  <c r="D339" i="1"/>
  <c r="D338" i="1"/>
  <c r="D336" i="1"/>
  <c r="D330" i="1"/>
  <c r="D325" i="1"/>
  <c r="D324" i="1"/>
  <c r="D321" i="1"/>
  <c r="D320" i="1"/>
  <c r="D318" i="1"/>
  <c r="D317" i="1"/>
  <c r="D316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V284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0" i="1"/>
  <c r="D249" i="1"/>
  <c r="D248" i="1"/>
  <c r="D247" i="1"/>
  <c r="D246" i="1"/>
  <c r="D245" i="1"/>
  <c r="D244" i="1"/>
  <c r="D243" i="1"/>
  <c r="D242" i="1"/>
  <c r="D241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<sst xmlns="http://schemas.openxmlformats.org/spreadsheetml/2006/main" count="3159" uniqueCount="1333">
  <si>
    <t>N</t>
  </si>
  <si>
    <t>Выгружаем</t>
  </si>
  <si>
    <t>Тип</t>
  </si>
  <si>
    <t>Тип SP</t>
  </si>
  <si>
    <t>Цена</t>
  </si>
  <si>
    <t>Норма расхода</t>
  </si>
  <si>
    <t>Норма на работу оборудования</t>
  </si>
  <si>
    <t>Норма средняя, л/час</t>
  </si>
  <si>
    <t>Норма средняя, л/час до 01.07.2020</t>
  </si>
  <si>
    <t>Норма под нагрузкой, л/час</t>
  </si>
  <si>
    <t>Норма без нагрузки, л/час</t>
  </si>
  <si>
    <t>Норма Молот</t>
  </si>
  <si>
    <t>Количество на дату 04.12.2018</t>
  </si>
  <si>
    <t>Да</t>
  </si>
  <si>
    <t>А/бетоносмес. 581411 на ш.Камаз</t>
  </si>
  <si>
    <t>Автобетоносмесители</t>
  </si>
  <si>
    <t>А/бетоносмес. 581411СБ-92-В2 на ш.Камаз</t>
  </si>
  <si>
    <t>А/бетоносмес. 58141А на ш.Урал 55571</t>
  </si>
  <si>
    <t>А/бетоносмес. 581460 на шасси КамАЗ 53229</t>
  </si>
  <si>
    <t>А/бетоносмес. 581462 на ш.Камаз</t>
  </si>
  <si>
    <t>А/бетоносмес. 58147D на ш.Камаз 65115-D3</t>
  </si>
  <si>
    <t>А/бетоносмес. 58147С на ш.Камаз</t>
  </si>
  <si>
    <t>А/бетоносмес. 58147С на шасси КамАЗ 53229</t>
  </si>
  <si>
    <t>А/бетоносмес. 581482 на ш.Камаз 6520-61</t>
  </si>
  <si>
    <t>А/бетоносмес. Volvo FM Truck 6x4</t>
  </si>
  <si>
    <t>АТ-АТБСМ-0</t>
  </si>
  <si>
    <t>А/бетоносмес. Volvo FM Truck 8x4</t>
  </si>
  <si>
    <t>А/бетоносмес. АБС-5 на шасси КамАЗ 55111</t>
  </si>
  <si>
    <t>А/бетоносмес. АБС-5-01 на шасси КамАЗ 55111</t>
  </si>
  <si>
    <t>А/бетоносмес. АБС-58142 на шасси КамАЗ 55111</t>
  </si>
  <si>
    <t>А/бетоносмес. АБС-681464 на шасси КамАЗ 23228</t>
  </si>
  <si>
    <t>А/бетоносмес. АБС-8 на шасси Урал 63685-1110</t>
  </si>
  <si>
    <t>А/бетоносмес. АМ-6ДА на шасси КамАЗ 53215</t>
  </si>
  <si>
    <t>А/бетоносмес. КамАЗ 53228А</t>
  </si>
  <si>
    <t>А/бетоносмес. КамАЗ 53229-15</t>
  </si>
  <si>
    <t>А/бетоносмес. КамАЗ 55111</t>
  </si>
  <si>
    <t>А/бетоносмес. КамАЗ 581411</t>
  </si>
  <si>
    <t>А/бетоносмес. на шасси КамАЗ-43118</t>
  </si>
  <si>
    <t>А/бетоносмес. на шасси КамАЗ-53228</t>
  </si>
  <si>
    <t>Автобус 222709</t>
  </si>
  <si>
    <t>Автобусы</t>
  </si>
  <si>
    <t>АТ-АВТБС-2</t>
  </si>
  <si>
    <t>Автобус 22370C</t>
  </si>
  <si>
    <t>АТ-АВТБС-0</t>
  </si>
  <si>
    <t>Автобус 42261D на шасси КамАЗ 43118</t>
  </si>
  <si>
    <t>Автобус FORD TRANSIT</t>
  </si>
  <si>
    <t>Автобус Iveko Irisbus SFR160 Crossway</t>
  </si>
  <si>
    <t>Автобус ГАЗ 32213</t>
  </si>
  <si>
    <t>Автобус ГАЗ 32213 2,8</t>
  </si>
  <si>
    <t>Автобус ГАЗ 322130</t>
  </si>
  <si>
    <t>Автобус ГАЗ 322132</t>
  </si>
  <si>
    <t>Автобус ГАЗ 322132-14</t>
  </si>
  <si>
    <t>Автобус ГАЗ 322132-224</t>
  </si>
  <si>
    <t>Автобус ГАЗ 3279-0000010-01</t>
  </si>
  <si>
    <t>Автобус ГАЗ 3302-415</t>
  </si>
  <si>
    <t>Автобус КАвЗ 3976</t>
  </si>
  <si>
    <t>Автобус КАвЗ 397620</t>
  </si>
  <si>
    <t>Автобус КАвЗ 39762С</t>
  </si>
  <si>
    <t>Автобус КАвЗ 39765-021</t>
  </si>
  <si>
    <t>Автобус КАвЗ 397652</t>
  </si>
  <si>
    <t>Автобус КАвЗ 39765С</t>
  </si>
  <si>
    <t>Автобус КАвЗ 397665</t>
  </si>
  <si>
    <t>Автобус КАвЗ 4238-01</t>
  </si>
  <si>
    <t>Автобус КАвЗ 4238-02</t>
  </si>
  <si>
    <t>Автобус КАвЗ 4238-41</t>
  </si>
  <si>
    <t>Автобус КАвЗ 4238-42</t>
  </si>
  <si>
    <t>Автобус КамАЗ 4208</t>
  </si>
  <si>
    <t>Автобус ЛиАЗ 525633-01</t>
  </si>
  <si>
    <t>Автобус НефАЗ 4208-012-13</t>
  </si>
  <si>
    <t>Автобус НефАЗ 4208-03</t>
  </si>
  <si>
    <t>Автобус НефАЗ 4208-13</t>
  </si>
  <si>
    <t>Автобус НефАЗ 4208-13 на ш. КамАЗ 43114</t>
  </si>
  <si>
    <t>Автобус НефАЗ 5299-0000011-42</t>
  </si>
  <si>
    <t>Автобус НефАЗ 5299-08</t>
  </si>
  <si>
    <t>Автобус Нефаз-4208-11-13 на ш.КамАЗ 43114</t>
  </si>
  <si>
    <t>Автобус ПАЗ 32053</t>
  </si>
  <si>
    <t>Автобус ПАЗ 32053 (АИ-80)</t>
  </si>
  <si>
    <t>Автобус ПАЗ 32053-60</t>
  </si>
  <si>
    <t>Автобус ПАЗ 32053-60 (АИ-92)</t>
  </si>
  <si>
    <t>Автобус ПАЗ 320530-22</t>
  </si>
  <si>
    <t>Автобус ПАЗ 32054 двухдверный</t>
  </si>
  <si>
    <t>Автобус ПАЗ 3206-60</t>
  </si>
  <si>
    <t>Автобус ПАЗ 4234</t>
  </si>
  <si>
    <t>Автобус Урал 32551-0010</t>
  </si>
  <si>
    <t>Автобус Урал 32551-0010-41</t>
  </si>
  <si>
    <t>Автобус Урал 32551-0010-59</t>
  </si>
  <si>
    <t>Автокран Liebherr LTM-1040-2.1</t>
  </si>
  <si>
    <t>Краны автомобильные</t>
  </si>
  <si>
    <t>СМ-АТКРН-0</t>
  </si>
  <si>
    <t>старая норма 11, изменил 07.08.2019</t>
  </si>
  <si>
    <t>Автокран Liebherr LTM-1095</t>
  </si>
  <si>
    <t>СМ-АТКРН-95</t>
  </si>
  <si>
    <t>Автокран Liebherr LTM-1160-5.1</t>
  </si>
  <si>
    <t>СМ-АТКРН-120</t>
  </si>
  <si>
    <t>Автокран Tadano Faun ATF-65G-4</t>
  </si>
  <si>
    <t>СМ-АТКРН-65</t>
  </si>
  <si>
    <t>Автокран Tadano Faun ATF-90G-4</t>
  </si>
  <si>
    <t>СМ-АТКРН-90</t>
  </si>
  <si>
    <t>Автокран КС-35714 на шасси Урал 5557-1658-10</t>
  </si>
  <si>
    <t>СМ-АТКРН-16</t>
  </si>
  <si>
    <t>Автокран КС-5579-3 на шасси Урал 4320</t>
  </si>
  <si>
    <t>Автокран КС-35714 на шасси Урал-5557</t>
  </si>
  <si>
    <t>Автокран КС-35715 на шасси МАЗ 533702</t>
  </si>
  <si>
    <t>Автокран КС-35719 на шасси Урал 5557</t>
  </si>
  <si>
    <t>Автокран КС-3574 на шасси Урал 555710</t>
  </si>
  <si>
    <t>СМ-АТКРН-14</t>
  </si>
  <si>
    <t>Автокран КС-3577-3 на шасси МАЗ 5337-6912</t>
  </si>
  <si>
    <t>Автокран КС-5579-3 на ш. Урал 4320 25т</t>
  </si>
  <si>
    <t>СМ-АТКРН-22</t>
  </si>
  <si>
    <t>Автокран КС-45717 на шасси МАЗ 63038</t>
  </si>
  <si>
    <t>СМ-АТКРН-25</t>
  </si>
  <si>
    <t>Автокран КС-45717-1 на ш. Урал</t>
  </si>
  <si>
    <t>Автокран УРАЛ KC-45717-2P</t>
  </si>
  <si>
    <t>Автокран Камаз КС-55717К-3</t>
  </si>
  <si>
    <t>Кран-манипулятор гусеничный MAEDA MC285CRM-2</t>
  </si>
  <si>
    <t>Миникраны</t>
  </si>
  <si>
    <t xml:space="preserve">Автокран КС-45717-1 на ш.Урал </t>
  </si>
  <si>
    <t>Автокран КС-45717-1 на шасси Урал 4320</t>
  </si>
  <si>
    <t>Автокран КС-45717-1Р на шасси Урал 4320</t>
  </si>
  <si>
    <t>Автокран КС-45717К-1 на шасси КамАЗ 5320</t>
  </si>
  <si>
    <t>Автокран КС-45717К-1 на шасси КамАЗ 53229</t>
  </si>
  <si>
    <t>Автокран КС-45721 на шасси Урал 4320</t>
  </si>
  <si>
    <t>Автокран КС-55713-2 на шасси КрАЗ 65101</t>
  </si>
  <si>
    <t>Автокран КС-55713-4 на шасси КамАЗ 53228С</t>
  </si>
  <si>
    <t>Автокран КС-55713-5B на шасси КамАЗ 43118</t>
  </si>
  <si>
    <t>Автокран КС-55713-5 на шасси КамАЗ 43118</t>
  </si>
  <si>
    <t>Автокран МКТ-25.2 на шасси КамАЗ-53228</t>
  </si>
  <si>
    <t>Автокран МКТ-25.3 на шасси КамАЗ-53228</t>
  </si>
  <si>
    <t>Автокран МКТ-25.7 на шасси КамАЗ 43118</t>
  </si>
  <si>
    <t>Автокран МКТ-25.7 на шасси КамАЗ 53228</t>
  </si>
  <si>
    <t>Автокран Тadano GT-550E</t>
  </si>
  <si>
    <t>СМ-АТКРН-55</t>
  </si>
  <si>
    <t>Автоцистерна Г6-ОТА-3.9-01 на шасси ГАЗ 3307</t>
  </si>
  <si>
    <t>Автоцистерны</t>
  </si>
  <si>
    <t>АТ-АТЦСН-4</t>
  </si>
  <si>
    <t>Автоцистерна ГАЗ 3309</t>
  </si>
  <si>
    <t>Ассениз. машина КО-550А на ш.Камаз</t>
  </si>
  <si>
    <t>Ассенизационные</t>
  </si>
  <si>
    <t>Асфальтоукладчик Volvo ABG2820</t>
  </si>
  <si>
    <t>Асфальтоукладчики</t>
  </si>
  <si>
    <t>СМ-АСФУК-0</t>
  </si>
  <si>
    <t>Асфальтоукладчик Volvo ABG6820</t>
  </si>
  <si>
    <t>Асфальтоукладчик Volvo P7820C</t>
  </si>
  <si>
    <t>АТЗ 4923Н7-01 на шасси Hyundai HD78</t>
  </si>
  <si>
    <t>Автотопливозаправщики</t>
  </si>
  <si>
    <t>АТ-АТЗПР-0</t>
  </si>
  <si>
    <t>АТЗ НефАЗ-66062-10 на шасси КамАЗ 43118</t>
  </si>
  <si>
    <t>АТ-АТЗПР-11.2</t>
  </si>
  <si>
    <t>АТЗ НефАЗ-66062-46 на шасси КамАЗ 43118</t>
  </si>
  <si>
    <t>Бетононасос THP 125/37 R4ST на ш.Мерседес</t>
  </si>
  <si>
    <t>Автобетононасосы</t>
  </si>
  <si>
    <t>СМ-АТБНС-125</t>
  </si>
  <si>
    <t>Бортовой Ford Transit 3227AR</t>
  </si>
  <si>
    <t>Бортовые</t>
  </si>
  <si>
    <t>АТ-БОРТВ-1.15</t>
  </si>
  <si>
    <t>Бортовой Ford Transit Double Cab</t>
  </si>
  <si>
    <t>АТ-БОРТВ-0</t>
  </si>
  <si>
    <t>Бортовой Ford Transit Single Cab</t>
  </si>
  <si>
    <t>АТ-БОРТВ-1.3</t>
  </si>
  <si>
    <t>Бортовой Hino 63H7A2 с КМУ</t>
  </si>
  <si>
    <t>Бортовой Hino FS1EUTA-QPR с КМУ</t>
  </si>
  <si>
    <t>Бортовой Kia Bongo III</t>
  </si>
  <si>
    <t>Бортовой ГАЗ 3302 2.3</t>
  </si>
  <si>
    <t>АТ-БОРТВ-1.52</t>
  </si>
  <si>
    <t>Бортовой ГАЗ 3302 2.5</t>
  </si>
  <si>
    <t>АТ-БОРТВ-1.6</t>
  </si>
  <si>
    <t>Бортовой ГАЗ 3302 2.7</t>
  </si>
  <si>
    <t>АТ-БОРТВ-1.54</t>
  </si>
  <si>
    <t>Бортовой ГАЗ 33021 2.5</t>
  </si>
  <si>
    <t>АТ-БОРТВ-1.65</t>
  </si>
  <si>
    <t>Бортовой ГАЗ 33021 2.9 (АИ-80)</t>
  </si>
  <si>
    <t>АТ-БОРТВ-0.8</t>
  </si>
  <si>
    <t>Бортовой ГАЗ 33021 2.9 (АИ-92)</t>
  </si>
  <si>
    <t>АТ-БОРТВ-1.5</t>
  </si>
  <si>
    <t>Бортовой ГАЗ 33023 2.3</t>
  </si>
  <si>
    <t>АТ-БОРТВ-1.35</t>
  </si>
  <si>
    <t>Бортовой ГАЗ 33023 2.5 (АИ-80)</t>
  </si>
  <si>
    <t>АТ-БОРТВ-1.33</t>
  </si>
  <si>
    <t>Бортовой ГАЗ 33023 2.5 (АИ-92)</t>
  </si>
  <si>
    <t>АТ-БОРТВ-1.58</t>
  </si>
  <si>
    <t>Бортовой ГАЗ 330232 2.5</t>
  </si>
  <si>
    <t>Бортовой ГАЗ 330232 2.8</t>
  </si>
  <si>
    <t>Бортовой ГАЗ 330232 2.9</t>
  </si>
  <si>
    <t>Бортовой ГАЗ 330232 4.3</t>
  </si>
  <si>
    <t>АТ-БОРТВ-4.65</t>
  </si>
  <si>
    <t>Бортовой ГАЗ 33025 2.9 (АИ-92)</t>
  </si>
  <si>
    <t>Бортовой ГАЗ 33025 2.9 (газ)</t>
  </si>
  <si>
    <t>Бортовой ГАЗ 3307</t>
  </si>
  <si>
    <t>АТ-БОРТВ-4</t>
  </si>
  <si>
    <t>Бортовой ГАЗ 33081</t>
  </si>
  <si>
    <t>АТ-БОРТВ-2.25</t>
  </si>
  <si>
    <t>Бортовой ГАЗ 3309</t>
  </si>
  <si>
    <t>Бортовой ГАЗ 331041</t>
  </si>
  <si>
    <t>АТ-БОРТВ-3.5</t>
  </si>
  <si>
    <t>Бортовой ГАЗ А22R32</t>
  </si>
  <si>
    <t>Бортовой КамАЗ 43118</t>
  </si>
  <si>
    <t>АТ-БОРТВ-12</t>
  </si>
  <si>
    <t>Бортовой КамАЗ 43118-26</t>
  </si>
  <si>
    <t>Бортовой КамАЗ 4326-15</t>
  </si>
  <si>
    <t>Бортовой КамАЗ 5320</t>
  </si>
  <si>
    <t>АТ-БОРТВ-8.23</t>
  </si>
  <si>
    <t>Бортовой КамАЗ 532150</t>
  </si>
  <si>
    <t>Бортовой КамАЗ 53228 с КМУ</t>
  </si>
  <si>
    <t>Бульдозер Komatsu D-65T-12</t>
  </si>
  <si>
    <t>Бульдозеры</t>
  </si>
  <si>
    <t>Бульдозер Komatsu D65E-12</t>
  </si>
  <si>
    <t>Бульдозер Komatsu D65EX-16</t>
  </si>
  <si>
    <t>СМ-БДЗЕР-0</t>
  </si>
  <si>
    <t>Бульдозер Liebherr PR 734 L GP</t>
  </si>
  <si>
    <t>Бульдозер гусеничный Caterpillar D6R</t>
  </si>
  <si>
    <t>26-27</t>
  </si>
  <si>
    <t>Вибропогружатель PTС 30H2L</t>
  </si>
  <si>
    <t>Вибропогружатели</t>
  </si>
  <si>
    <t>СМ-ВБПГР-0</t>
  </si>
  <si>
    <t>Вибропогружатель PTС 32HFV</t>
  </si>
  <si>
    <t>Вибропогружатель PTС 65HD</t>
  </si>
  <si>
    <t>Вибропогружатель PTС 65HDL</t>
  </si>
  <si>
    <t>Вибропогружатель PTС 65HDSL</t>
  </si>
  <si>
    <t>Дизель-генератор AIRMAN SDG13S</t>
  </si>
  <si>
    <t>Электростанции</t>
  </si>
  <si>
    <t>Дизель-генератор AIRMAN SDG45S</t>
  </si>
  <si>
    <t>Вибропогружатель MULLER MS-50 H3 2020 г. 4198</t>
  </si>
  <si>
    <t>Дизель-генератор AIRMAN SDG60S</t>
  </si>
  <si>
    <t>Дизель-генератор SDMO Montana D330</t>
  </si>
  <si>
    <t>СМ-ДЭС-0</t>
  </si>
  <si>
    <t>Дизель-генератор SDMO Montana J130</t>
  </si>
  <si>
    <t>Дизель-генератор SDMO Montana J22</t>
  </si>
  <si>
    <t>Дизель-генератор SDMO Montana J275</t>
  </si>
  <si>
    <t>Дизель-генератор SDMO Montana J350</t>
  </si>
  <si>
    <t>Дизель-генератор SDMO Montana J44</t>
  </si>
  <si>
    <t>4-5</t>
  </si>
  <si>
    <t>Дизель-генератор SDMO Montana J66</t>
  </si>
  <si>
    <t>Дизель-генератор SDMO Montana J88</t>
  </si>
  <si>
    <t>Дизель-генератор SDMO Montana V275</t>
  </si>
  <si>
    <t>Дизель-генератор SDMO Montana V350</t>
  </si>
  <si>
    <t>Дизель-генератор SDMO Montana V550C2</t>
  </si>
  <si>
    <t>Дизель-генератор SDMO T33K</t>
  </si>
  <si>
    <t>Дизельная электростанция  Atlas Copco QAS 125</t>
  </si>
  <si>
    <t>Каток Bomag BW213-D-4</t>
  </si>
  <si>
    <t>Катки дорожные</t>
  </si>
  <si>
    <t>Каток Bomag BW213-D-5</t>
  </si>
  <si>
    <t>СМ-ДРКТК-0</t>
  </si>
  <si>
    <t>Каток Bomag BW216-D-40</t>
  </si>
  <si>
    <t>Каток Bomag BW218-D-40</t>
  </si>
  <si>
    <t>Каток Dynapac CC1300</t>
  </si>
  <si>
    <t>Каток Dynapac CC2200</t>
  </si>
  <si>
    <t>Каток Dynapac CC224CHF</t>
  </si>
  <si>
    <t>Каток Dynapac CC424HF</t>
  </si>
  <si>
    <t>Каток Dynapac CS142</t>
  </si>
  <si>
    <t>Каток Dynapac CА5000D</t>
  </si>
  <si>
    <t>Каток HAMM HD+140VV</t>
  </si>
  <si>
    <t>Катки асфальтные</t>
  </si>
  <si>
    <t>Каток HAMM HD110</t>
  </si>
  <si>
    <t>Каток HAMM HD12VV</t>
  </si>
  <si>
    <t>Каток HAMM HD70</t>
  </si>
  <si>
    <t>Каток дорожный Caterpillar CS533E</t>
  </si>
  <si>
    <t>Каток дорожный Caterpillar CS76</t>
  </si>
  <si>
    <t>Каток дорожный Volvo SD130</t>
  </si>
  <si>
    <t>Компрессор Airman PDS-100S</t>
  </si>
  <si>
    <t>Компрессоры</t>
  </si>
  <si>
    <t>Компрессор Airman PDS-130SC</t>
  </si>
  <si>
    <t>Компрессор Airman PDS-175SC</t>
  </si>
  <si>
    <t>9-10</t>
  </si>
  <si>
    <t>Компрессор Airman PDS-390S</t>
  </si>
  <si>
    <t>15-17</t>
  </si>
  <si>
    <t>Компрессор AIRMAN PDS 390S</t>
  </si>
  <si>
    <t>Компрессор Airman PDS-390SC</t>
  </si>
  <si>
    <t>СМ-КМПСР-0</t>
  </si>
  <si>
    <t>14-16</t>
  </si>
  <si>
    <t>Компрессор Airman PDS-400SC</t>
  </si>
  <si>
    <t>Компрессор XATS 156</t>
  </si>
  <si>
    <t>Кран гусеничный Hitachi KH-180-3</t>
  </si>
  <si>
    <t>Краны гусеничные</t>
  </si>
  <si>
    <t>СМ-ГСКРН-43</t>
  </si>
  <si>
    <t>13-14</t>
  </si>
  <si>
    <t>Кран гусеничный Hitachi KH-300</t>
  </si>
  <si>
    <t>СМ-ГСКРН-63</t>
  </si>
  <si>
    <t>Кран гусеничный Hitachi KH-500</t>
  </si>
  <si>
    <t>СМ-ГСКРН-100</t>
  </si>
  <si>
    <t>Кран гусеничный Hitachi KH-500L</t>
  </si>
  <si>
    <t>Кран гусеничный Hitachi Sumitomo SCX1000A-3</t>
  </si>
  <si>
    <t>СМ-ГСКРН-0</t>
  </si>
  <si>
    <t>Кран гусеничный IHI CCH-700</t>
  </si>
  <si>
    <t>СМ-ГСКРН-70</t>
  </si>
  <si>
    <t>Кран гусеничный Liebherr LR-1280</t>
  </si>
  <si>
    <t>Кран гусеничный Liebherr LTR-1100</t>
  </si>
  <si>
    <t>Кран гусеничный ДЭК-251</t>
  </si>
  <si>
    <t>СМ-ГСКРН-25</t>
  </si>
  <si>
    <t>Кран самоходный гусеничный</t>
  </si>
  <si>
    <t>СМ-ГСКРН-32</t>
  </si>
  <si>
    <t>Кран гусеничный ДЭК-321</t>
  </si>
  <si>
    <t>Кран гусеничный ДЭК-361</t>
  </si>
  <si>
    <t>СМ-ГСКРН-36</t>
  </si>
  <si>
    <t>Кран гусеничный РДК-160</t>
  </si>
  <si>
    <t>СМ-ГСКРН-16</t>
  </si>
  <si>
    <t>Кран гусеничный РДК-25</t>
  </si>
  <si>
    <t>Кран гусеничный РДК-25-1</t>
  </si>
  <si>
    <t>Кран гусеничный РДК-25-2</t>
  </si>
  <si>
    <t>Кран гусеничный РДК-250</t>
  </si>
  <si>
    <t>Кран гусеничный РДК-250-2</t>
  </si>
  <si>
    <t>Кран железнодорожный КДЭ-161</t>
  </si>
  <si>
    <t>Краны железнодорожные</t>
  </si>
  <si>
    <t>СМ-ЖДКРН-16</t>
  </si>
  <si>
    <t>Кран железнодорожный КДЭ-163</t>
  </si>
  <si>
    <t>Кран железнодорожный КДЭ-253</t>
  </si>
  <si>
    <t>СМ-ЖДКРН-25</t>
  </si>
  <si>
    <t>Кран железнодорожный КЖ-562</t>
  </si>
  <si>
    <t>Кран железнодорожный КЖ-562 в компл. с грейфером 2</t>
  </si>
  <si>
    <t>Кран железнодорожный КЖ-562А</t>
  </si>
  <si>
    <t>Кран железнодорожный КЖДЭ-16</t>
  </si>
  <si>
    <t>Кран железнодорожный КЖДЭ-25</t>
  </si>
  <si>
    <t>Кран стреловой самоходный Grove RT650E</t>
  </si>
  <si>
    <t>Краны пневмоколёсные</t>
  </si>
  <si>
    <t>СМ-ПМКРН-45</t>
  </si>
  <si>
    <t>Кран пневмоколёсный Grove RT650E</t>
  </si>
  <si>
    <t>Кран пневмоколёсный Grove RT540E</t>
  </si>
  <si>
    <t>СМ-ПМКРН-35</t>
  </si>
  <si>
    <t>Кран стреловой самоходный Grove RT765E-2</t>
  </si>
  <si>
    <t>СМ-ПМКРН-60</t>
  </si>
  <si>
    <t>Манипулятор ISUZU  FORWARD</t>
  </si>
  <si>
    <t>Мачта осветительная QLT M10</t>
  </si>
  <si>
    <t>Осветительное оборудование</t>
  </si>
  <si>
    <t>Мачта осветительная VT4</t>
  </si>
  <si>
    <t>Машина буровая Bauer BG-24</t>
  </si>
  <si>
    <t>Установки буровые</t>
  </si>
  <si>
    <t>СМ-БУРУС-25</t>
  </si>
  <si>
    <t>Машина буровая Bauer BG-25</t>
  </si>
  <si>
    <t>СМ-БУРУС-30</t>
  </si>
  <si>
    <t>Машина буровая Bauer BG-28</t>
  </si>
  <si>
    <t>СМ-БУРУС-42</t>
  </si>
  <si>
    <t>Машина буровая Bauer BG-30</t>
  </si>
  <si>
    <t>СМ-БУРУС-0</t>
  </si>
  <si>
    <t>Машина буровая Bauer MBG-10</t>
  </si>
  <si>
    <t>СМ-БУРУС-15</t>
  </si>
  <si>
    <t>Машина буровая Bauer MBG-12</t>
  </si>
  <si>
    <t>СМ-БУРУС-18</t>
  </si>
  <si>
    <t>Машина буровая БМ-205 на базе МТЗ-82</t>
  </si>
  <si>
    <t>Ямобуры</t>
  </si>
  <si>
    <t>Машина дорожная комбинированная ЭД405</t>
  </si>
  <si>
    <t>Спецшасси</t>
  </si>
  <si>
    <t>Машина сваебойная ORTECO BTP1000HD</t>
  </si>
  <si>
    <t>Установки сваебойные</t>
  </si>
  <si>
    <t>СМ-СВБУС-0</t>
  </si>
  <si>
    <t>Минипогрузчик Bobcat S530</t>
  </si>
  <si>
    <t>Погрузчики тракторные</t>
  </si>
  <si>
    <t>СМ-ТРПГР-0</t>
  </si>
  <si>
    <t>Минипогрузчик Bobcat S770</t>
  </si>
  <si>
    <t>Минипогрузчик Bobcat T190</t>
  </si>
  <si>
    <t>СМ-ТРПГР-0.5</t>
  </si>
  <si>
    <t>Минипогрузчик Case SV300B</t>
  </si>
  <si>
    <t>Тип Погрузчики тракторные</t>
  </si>
  <si>
    <t>Минипогрузчик LOCUST L1203</t>
  </si>
  <si>
    <t>Минипогрузчик New Holland</t>
  </si>
  <si>
    <t>СМ-ТРПГР-0.44</t>
  </si>
  <si>
    <t>Минипогрузчик фронтальный Komatsu SK1026-5</t>
  </si>
  <si>
    <t>СМ-ТРПГР-0.45</t>
  </si>
  <si>
    <t>Погрузчик Doosan DISD SD200</t>
  </si>
  <si>
    <t>Погрузчик DOOSAN DISD SD300</t>
  </si>
  <si>
    <t>Погрузчик Hyundai HL730-9S</t>
  </si>
  <si>
    <t>Погрузчик Hyundai HL740-7</t>
  </si>
  <si>
    <t>СМ-ТРПГР-2.1</t>
  </si>
  <si>
    <t>Погрузчик Liugong CLG 375</t>
  </si>
  <si>
    <t>С/тягач Mercedes-Benz Actros 3346S</t>
  </si>
  <si>
    <t>Седельные тягачи</t>
  </si>
  <si>
    <t>АТ-СДТГЧ-22.9</t>
  </si>
  <si>
    <t>С/тягач Scania P380-CB 6х4 EHZ</t>
  </si>
  <si>
    <t>АТ-СДТГЧ-24.8</t>
  </si>
  <si>
    <t>Электростанция Airman SDG-1005S</t>
  </si>
  <si>
    <t>Тип Электростанции</t>
  </si>
  <si>
    <t>проверить</t>
  </si>
  <si>
    <t>С/тягач Volvo FM Truck 6х4</t>
  </si>
  <si>
    <t>АТ-СДТГЧ-25</t>
  </si>
  <si>
    <t>С/тягач Volvo FM Truck 6х4 12.8</t>
  </si>
  <si>
    <t>АТ-СДТГЧ-27</t>
  </si>
  <si>
    <t>С/тягач Volvo FM Truck 6х4 9.4</t>
  </si>
  <si>
    <t>АТ-СДТГЧ-20.36</t>
  </si>
  <si>
    <t>С/тягач КамАЗ 44108</t>
  </si>
  <si>
    <t>АТ-СДТГЧ-12.15</t>
  </si>
  <si>
    <t>С/тягач КамАЗ 44108-24</t>
  </si>
  <si>
    <t>АТ-СДТГЧ-12.5</t>
  </si>
  <si>
    <t>С/тягач КамАЗ 44108N</t>
  </si>
  <si>
    <t>АТ-СДТГЧ-18.5</t>
  </si>
  <si>
    <t>Самосвал MAN 9596-03-50 6х6</t>
  </si>
  <si>
    <t>Самосвалы</t>
  </si>
  <si>
    <t>АТ-АВТСС-0</t>
  </si>
  <si>
    <t>Самосвал MAN БЦМ-57.6 6х6</t>
  </si>
  <si>
    <t>Самосвал Mercedes-Benz Actros 65516</t>
  </si>
  <si>
    <t>АТ-АВТСС-25.15</t>
  </si>
  <si>
    <t>Самосвал Scania P380-CB 6х4 EHZ</t>
  </si>
  <si>
    <t>АТ-АВТСС-25</t>
  </si>
  <si>
    <t>Самосвал Scania P400-CB 6х4 EHZ</t>
  </si>
  <si>
    <t>Самосвал Scania P420-CA 6х6 EHZ</t>
  </si>
  <si>
    <t>АТ-АВТСС-29</t>
  </si>
  <si>
    <t>Самосвал Volvo FM Truck 6х4</t>
  </si>
  <si>
    <t>Самосвал Volvo FM Truck 6х6</t>
  </si>
  <si>
    <t>АТ-АВТСС-26.91</t>
  </si>
  <si>
    <t>Самосвал Камаз 55111</t>
  </si>
  <si>
    <t>АТ-АВТСС-13</t>
  </si>
  <si>
    <t>Самосвал КамАЗ 55111А</t>
  </si>
  <si>
    <t>АТ-АВТСС-13.15</t>
  </si>
  <si>
    <t>Самосвал КамАЗ 65111</t>
  </si>
  <si>
    <t>АТ-АВТСС-14.15</t>
  </si>
  <si>
    <t>Самосвал КамАЗ 65111N</t>
  </si>
  <si>
    <t>АТ-АВТСС-14</t>
  </si>
  <si>
    <t>Самосвал КамАЗ 65115 (двиг.КамАЗ-740.11-240)</t>
  </si>
  <si>
    <t>АТ-АВТСС-15.15</t>
  </si>
  <si>
    <t>Самосвал КамАЗ 65115 (двиг.КамАЗ-740.30-260)</t>
  </si>
  <si>
    <t>Самосвал КамАЗ 65115С</t>
  </si>
  <si>
    <t>Сваебойный комплекс IHC Hydrohammer S-280</t>
  </si>
  <si>
    <t>Сваебойный комплекс IHC Hydrohammer S-35</t>
  </si>
  <si>
    <t>Сваебойный комплекс IHC Hydrohammer S-70</t>
  </si>
  <si>
    <t>Сваебойный комплекс IHC Hydrohammer S-90</t>
  </si>
  <si>
    <t>Тепловая пушка Mirage</t>
  </si>
  <si>
    <t>Прочее оборудование</t>
  </si>
  <si>
    <t>Теплогенератор ТАЖ-110</t>
  </si>
  <si>
    <t>Теплогенераторы</t>
  </si>
  <si>
    <t>Трактор К-700А</t>
  </si>
  <si>
    <t>Тракторы колесные</t>
  </si>
  <si>
    <t>СМ-ТРКТР-0</t>
  </si>
  <si>
    <t>Трактор К-701</t>
  </si>
  <si>
    <t>Установка сваебойная Bauer MC-32</t>
  </si>
  <si>
    <t>Установка сваебойная Junttan PM25-HD</t>
  </si>
  <si>
    <t>Экскаватор Hitachi ZX-160W</t>
  </si>
  <si>
    <t>Экскаваторы колёсные</t>
  </si>
  <si>
    <t>СМ-ЭКСКЛ-0.6</t>
  </si>
  <si>
    <t>Экскаватор Hitachi ZX-230</t>
  </si>
  <si>
    <t>Экскаваторы гусеничные</t>
  </si>
  <si>
    <t>СМ-ЭКСГС-1.4</t>
  </si>
  <si>
    <t>Экскаватор Hitachi ZX-240-3</t>
  </si>
  <si>
    <t>Экскаватор Kato НD-1023III</t>
  </si>
  <si>
    <t>СМ-ЭКСГС-1.5</t>
  </si>
  <si>
    <t>Экскаватор Komatsu PC220</t>
  </si>
  <si>
    <t>СМ-ЭКСГС-1.2</t>
  </si>
  <si>
    <t>Экскаватор Komatsu РС300-8MO</t>
  </si>
  <si>
    <t>Экскаватор Komatsu PC270</t>
  </si>
  <si>
    <t>СМ-ЭКСГС-0</t>
  </si>
  <si>
    <t>Погрузчик Liugong CLG 842</t>
  </si>
  <si>
    <t>Экскаватор Komatsu WB93S-5</t>
  </si>
  <si>
    <t>Экскаваторы-погрузчики</t>
  </si>
  <si>
    <t>СМ-ЭКСКЛ-0.19</t>
  </si>
  <si>
    <t>Экскаватор Komatsu РС200-7</t>
  </si>
  <si>
    <t>Экскаватор Liebherr A900C Litronic</t>
  </si>
  <si>
    <t>СМ-ЭКСКЛ-0</t>
  </si>
  <si>
    <t>Экскаватор Liebherr A904C Litronic</t>
  </si>
  <si>
    <t>Экскаватор Liebherr R926 LC</t>
  </si>
  <si>
    <t>Экскаватор Liebherr R934 C LC</t>
  </si>
  <si>
    <t>Экскаватор Volvo EC290BLC PRIME</t>
  </si>
  <si>
    <t>Экскаватор гусеничный Caterpillar 320DL</t>
  </si>
  <si>
    <t>Экскаватор гусеничный Caterpillar 329DL</t>
  </si>
  <si>
    <t>Экскаватор гусеничный Hyndai R140LC-7</t>
  </si>
  <si>
    <t>СМ-ЭКСГС-0.58</t>
  </si>
  <si>
    <t>Экскаватор гусеничный Hyndai R210LC-7</t>
  </si>
  <si>
    <t>СМ-ЭКСГС-0.51</t>
  </si>
  <si>
    <t>Экскаватор гусеничный Hyndai R305LC-7</t>
  </si>
  <si>
    <t>СМ-ЭКСГС-1.46</t>
  </si>
  <si>
    <t>Экскаватор гусеничный Hyundai R305LC-7</t>
  </si>
  <si>
    <t>Экскаватор гусеничный Hyndai R320LC-7</t>
  </si>
  <si>
    <t>СМ-ЭКСГС-1.44</t>
  </si>
  <si>
    <t>Экскаватор гусеничный Komatsu РС300-7</t>
  </si>
  <si>
    <t>Экскаватор гусеничный Komatsu РС300-8MO</t>
  </si>
  <si>
    <t>Экскаватор колесный Hyundai R170W-7</t>
  </si>
  <si>
    <t>СМ-ЭКСКЛ-0.76</t>
  </si>
  <si>
    <t>Погрузчик Volvo L60F</t>
  </si>
  <si>
    <t>Погрузчик Volvo MC115C</t>
  </si>
  <si>
    <t>Погрузчик XCMG LW300F</t>
  </si>
  <si>
    <t>Погрузчик фронтальный Doosan DISD SD 300</t>
  </si>
  <si>
    <t>Электромоторный подогреватель ЭМП-92М</t>
  </si>
  <si>
    <t>Электростанция Airman SDG-100S</t>
  </si>
  <si>
    <t>Электростанция Airman SDG-13S</t>
  </si>
  <si>
    <t>Электростанция Airman SDG-1505S</t>
  </si>
  <si>
    <t>Электростанция Airman SDG-150S</t>
  </si>
  <si>
    <t>16-18</t>
  </si>
  <si>
    <t>Электростанция Airman SDG-25S</t>
  </si>
  <si>
    <t>Электростанция Airman SDG-45S</t>
  </si>
  <si>
    <t>Электростанция Airman SDG-45SE</t>
  </si>
  <si>
    <t>Дизель-генератор GenPower</t>
  </si>
  <si>
    <t>Дизельная генераторная установка SDMO R110</t>
  </si>
  <si>
    <t>ДЭС-100</t>
  </si>
  <si>
    <t>Экскаватор-планировщик EW-25-M1.102 УДС (КамАЗ 65111)</t>
  </si>
  <si>
    <t>Тип Экскаваторы колёсные</t>
  </si>
  <si>
    <t>Экскаваторы-планировщики</t>
  </si>
  <si>
    <t>Электростанция Airman SDG-500S</t>
  </si>
  <si>
    <t>Погрузчик фронтальный Doosan DISD SD200</t>
  </si>
  <si>
    <t>Дизельная генераторная установка SDMO R66</t>
  </si>
  <si>
    <t>Буровой станок Klemm KR806-3D 72ТА5620</t>
  </si>
  <si>
    <t>Тип Установки буровые</t>
  </si>
  <si>
    <t>Кран самоходный гусеничный ДЭК-321</t>
  </si>
  <si>
    <t>Тип Краны гусеничные</t>
  </si>
  <si>
    <t>Кран гусеничный KOBELCO CKS2500</t>
  </si>
  <si>
    <t>Электростанция Airman SDG-60S</t>
  </si>
  <si>
    <t>Электростанция Atlas Copco QE100</t>
  </si>
  <si>
    <t>Компрессор Airman PDS-185S</t>
  </si>
  <si>
    <t>Тип Компрессоры</t>
  </si>
  <si>
    <t>Дизель-генератор Hokuetsu Industries SDG60S</t>
  </si>
  <si>
    <t>Электростанция Atlas Copco QE125</t>
  </si>
  <si>
    <t>ДГУ AKSA AJD-275</t>
  </si>
  <si>
    <t>Автокран КС-45717-2Р на шасси Урал 4320</t>
  </si>
  <si>
    <t>Погрузчик фронтальный Hyundai HL740-7</t>
  </si>
  <si>
    <t>Автомобильный кран Камаз</t>
  </si>
  <si>
    <t>Кран гусеничный Hitachi Sumitomo</t>
  </si>
  <si>
    <t>Автокран Kato NK-750</t>
  </si>
  <si>
    <t>AIRMAN SDG 100S</t>
  </si>
  <si>
    <t>Погрузчик фронтальный XCMG LW330RU</t>
  </si>
  <si>
    <t>Бетоносмесительная установка самоходная Scout 3500</t>
  </si>
  <si>
    <t>Кран гусеничный Sennebogen 5500R</t>
  </si>
  <si>
    <t>Погрузчик фронтальный XCMG ZL30GV</t>
  </si>
  <si>
    <t>Экскаватор Liebherr R922 LC</t>
  </si>
  <si>
    <t>Экскаватор Liebherr R916</t>
  </si>
  <si>
    <t>Бульдозер Liebherr PR 734 L</t>
  </si>
  <si>
    <t>Погрузчик фронтальный XCMG ZL50GV</t>
  </si>
  <si>
    <t>Экскаватор Liebherr R930</t>
  </si>
  <si>
    <t>Фронтальный погрузчик Хундай HL-740</t>
  </si>
  <si>
    <t>LOCUST L903</t>
  </si>
  <si>
    <t>Экскаватор Doosan DX190WA</t>
  </si>
  <si>
    <t>С/тягач Mercedes-Benz Actros 3341AS</t>
  </si>
  <si>
    <t>Самосвал Scania P400-CB 6х4</t>
  </si>
  <si>
    <t>С/тягач КамАЗ 65221</t>
  </si>
  <si>
    <t>Самосвал КамАЗ 43255-Н3</t>
  </si>
  <si>
    <t>С/тягач Scania P420-CA 6х4 HSZ</t>
  </si>
  <si>
    <t>С/тягач МАЗ 6422А-330</t>
  </si>
  <si>
    <t>Самосвал КамАЗ 6520-06</t>
  </si>
  <si>
    <t>С/тягач Камаз 54105</t>
  </si>
  <si>
    <t>Самосвал MAN БМЦ-57.6 6х6</t>
  </si>
  <si>
    <t>Самосвал Scania P380-CB 6х4</t>
  </si>
  <si>
    <t>Самосвал СААЗ-4545 на шасси ЗиЛ</t>
  </si>
  <si>
    <t>Самосвал Tatra Т815-2А</t>
  </si>
  <si>
    <t>Самосвал Урал 583100</t>
  </si>
  <si>
    <t>С/тягач Scania P420-CA 6х6 EHZ</t>
  </si>
  <si>
    <t>С/тягач VOLVO FM-Truck6х4</t>
  </si>
  <si>
    <t>С/тягач МАН TGS 19.390 4X2 BLS-W</t>
  </si>
  <si>
    <t>Самосвал ЗИЛ 450850</t>
  </si>
  <si>
    <t>С/тягач КамАЗ 54115</t>
  </si>
  <si>
    <t>Экскаватор Komatsu PC220-8</t>
  </si>
  <si>
    <t>С/тягач КамАЗ 54115-15</t>
  </si>
  <si>
    <t>LOCUST L1203</t>
  </si>
  <si>
    <t>Каток тандемный вибрационный HAMM HD+140VV</t>
  </si>
  <si>
    <t>Автогрейдер ГС-14.02</t>
  </si>
  <si>
    <t>Автогрейдеры</t>
  </si>
  <si>
    <t>Трактор МТЗ-82</t>
  </si>
  <si>
    <t>Автогрейдер Volvo G946</t>
  </si>
  <si>
    <t>Экскаватор - погрузчик CASE695ST</t>
  </si>
  <si>
    <t>Мачта осветительная VT4 8m</t>
  </si>
  <si>
    <t>Генераторная установка TELYS J275</t>
  </si>
  <si>
    <t>Автогрейдер Case 865B</t>
  </si>
  <si>
    <t>Вибропогружатель PTС 65HD 47957</t>
  </si>
  <si>
    <t>Вибропогружатель РТС65HD LS</t>
  </si>
  <si>
    <t>С/тягач КамАЗ 53504-50</t>
  </si>
  <si>
    <t>С/тягач Scania P340-LA 4х2 HNA</t>
  </si>
  <si>
    <t>С/тягач КрАЗ 6443</t>
  </si>
  <si>
    <t>Каток HAMM 3412</t>
  </si>
  <si>
    <t>Катки грунтовые</t>
  </si>
  <si>
    <t>Вибропогружатель MULLER MS-28 HFV 2020№ 8550-4191</t>
  </si>
  <si>
    <t>Вибропогружатель PTС 30H2L №1</t>
  </si>
  <si>
    <t>Сваебойный комплекс IHC Hydrohammer S-90 №2</t>
  </si>
  <si>
    <t>Вибропогружатель PTС 120HD 28541</t>
  </si>
  <si>
    <t>Вибропогружатель PTС 30H2L №2 28340</t>
  </si>
  <si>
    <t>Кран пневмоколёсный TEREX RT1045L</t>
  </si>
  <si>
    <t>Кран пневмоколесный Sany SRC500T</t>
  </si>
  <si>
    <t>Вибропогружатель PTС 32HFV (2936)</t>
  </si>
  <si>
    <t>Вибропогружатель РТС65HD</t>
  </si>
  <si>
    <t>Каток дорожный Bomag BW161AD-50AM</t>
  </si>
  <si>
    <t>Экскаватор-погрузчик Case 580T</t>
  </si>
  <si>
    <t>Сваебойный комплекс IHC Hydrohammer S-90  №3</t>
  </si>
  <si>
    <t>Вибропогружатель PTС 65HDSL №5 28504</t>
  </si>
  <si>
    <t>Каток дорожный Bomag BW206AD-50</t>
  </si>
  <si>
    <t>Автогрейдер ГС-18.05</t>
  </si>
  <si>
    <t>Кран гусеничный Sennebogen 3300</t>
  </si>
  <si>
    <t>Экскаватор гусеничный Doosan DX360LCA-7M</t>
  </si>
  <si>
    <t>Экскаватор Komatsu РС300</t>
  </si>
  <si>
    <t>Электростанция Atlas Copco QE80</t>
  </si>
  <si>
    <t>Короткобазный автокран TEREX TRT80</t>
  </si>
  <si>
    <t>Кран пневмоколёсный TEREX TRT80</t>
  </si>
  <si>
    <t>Камаз манипулятор</t>
  </si>
  <si>
    <t>Манипулятор бортовой КАМАЗ с КМУ</t>
  </si>
  <si>
    <t>Автокран Урал КС-45717-2Р</t>
  </si>
  <si>
    <t>Экскаватор-погрузчик CASE 695ST</t>
  </si>
  <si>
    <t>Экскаватор-погрузчик Caterpillar 434E</t>
  </si>
  <si>
    <t>Экскаватор-погрузчик Komatsu WB-93R-5</t>
  </si>
  <si>
    <t>Экскаватор HYUNDAI R180w-9S</t>
  </si>
  <si>
    <t>Кран автомобильный КамАЗ КС 55713-1</t>
  </si>
  <si>
    <t>Экскаватор-погрузчик New Holland B110-4PT</t>
  </si>
  <si>
    <t>СМ-ЭКСКЛ-0.24</t>
  </si>
  <si>
    <t>Экскаватор-погрузчик New Holland B115-4PS</t>
  </si>
  <si>
    <t>СМ-ЭКСКЛ-0.2</t>
  </si>
  <si>
    <t>Экскаватор-погрузчик MST M644S</t>
  </si>
  <si>
    <t>Автокран KC-45717-2P на ш. Урал</t>
  </si>
  <si>
    <t>Автокран КамАЗ КС 55713-1</t>
  </si>
  <si>
    <t>Кран гусеничный HSC SCX1800A-3</t>
  </si>
  <si>
    <t>Самосвал HINO 658991E 6x4</t>
  </si>
  <si>
    <t>Экскаватор-погрузчик грейфер. ПЭ-Ф1-Б на б.МТЗ-82</t>
  </si>
  <si>
    <t>Экскаваторы грейферные</t>
  </si>
  <si>
    <t>СМ-ЭКСГФ-0.56</t>
  </si>
  <si>
    <t>Автокран КС-55713-5B на шасси КамАЗ</t>
  </si>
  <si>
    <t>Кран автомобильный КС-55713-1В-4 на ш.КамАЗ 65115</t>
  </si>
  <si>
    <t>Автокран КС-55713-5В-4 КамАЗ 43118</t>
  </si>
  <si>
    <t>Автокран ГАЛИЧАНИН КС-55713-5В-4</t>
  </si>
  <si>
    <t>Электростанция Willson 200</t>
  </si>
  <si>
    <t>Электростанция дизельная Denyo DCA-150ES</t>
  </si>
  <si>
    <t>Электростанция ДЭС-125</t>
  </si>
  <si>
    <t>Экскаватор Komatsu PC300-8</t>
  </si>
  <si>
    <t>Автокран LIEBHERR LTМ 1100</t>
  </si>
  <si>
    <t>Бетоносмесительная установка CARMIX 5,5 XL</t>
  </si>
  <si>
    <t>Кран гусеничный Sennebogen 2200E</t>
  </si>
  <si>
    <t>Компрессор Airman PDSF330DP</t>
  </si>
  <si>
    <t>Компрессор Airman PDS400S</t>
  </si>
  <si>
    <t>Дизель-генератор AIRMAN SDG100S</t>
  </si>
  <si>
    <t>Кран гусеничный Sennebogen 5500E</t>
  </si>
  <si>
    <t>Бульдозер SHANTUI SD22</t>
  </si>
  <si>
    <t>Каток дорожный Bomag BW151AD-50</t>
  </si>
  <si>
    <t>Каток дорожный Bomag BW28RH</t>
  </si>
  <si>
    <t>Кран железнодорожный КЖ</t>
  </si>
  <si>
    <t>Кран железнодорожный КЖ-562 180</t>
  </si>
  <si>
    <t>Кран железнодорожный КЖ-562 № 48</t>
  </si>
  <si>
    <r>
      <rPr>
        <sz val="8"/>
        <color rgb="FF000000"/>
        <rFont val="PT Astra Serif"/>
      </rPr>
      <t>Каток дорожный Bomag BW28RH</t>
    </r>
  </si>
  <si>
    <t>С/Тягач MAN TGS 33.480 6х6 BB</t>
  </si>
  <si>
    <t>Экскаватор Liebherr A916</t>
  </si>
  <si>
    <t>Погрузчик SEM</t>
  </si>
  <si>
    <t>Автокран Камаз</t>
  </si>
  <si>
    <t>Экскаватор-погрузчик JCB 4CX</t>
  </si>
  <si>
    <t>Кран стреловой самоходный Grove RT550E</t>
  </si>
  <si>
    <t>Автокран KATO SR-700LS</t>
  </si>
  <si>
    <t>Бульдозер SHANTUI SD-16L</t>
  </si>
  <si>
    <t>Автокран Урал КС-55713-3</t>
  </si>
  <si>
    <t>Бульдозер Liebherr PR 736</t>
  </si>
  <si>
    <t>Автокран КАМАЗ КС-55713-5К-4</t>
  </si>
  <si>
    <t>Экскаватор гусеничный DOOSAN DX420L CA</t>
  </si>
  <si>
    <t>Машина буровая Bauer BG24H</t>
  </si>
  <si>
    <t>Автокран Камаз КС-55713-5В</t>
  </si>
  <si>
    <t>Тип Краны автомобильные</t>
  </si>
  <si>
    <t>Экскаватор-погрузчик JSB 3CX</t>
  </si>
  <si>
    <t>Погрузчик SEM 655H</t>
  </si>
  <si>
    <t>Каток HAMM 3414</t>
  </si>
  <si>
    <t>Тип Катки грунтовые</t>
  </si>
  <si>
    <t>Самосвал Hino 700</t>
  </si>
  <si>
    <t>С/Тягач Камаз-65221-53</t>
  </si>
  <si>
    <t>С/тягач КамАЗ 640603</t>
  </si>
  <si>
    <t>Дизель-генератор Airman SDG150S</t>
  </si>
  <si>
    <t>Генератор дизельный GENBOX СМ50-S</t>
  </si>
  <si>
    <t>Дизель-генератор Airman SDG220S</t>
  </si>
  <si>
    <t>Дизельный генератор Denyo DCA-150ESK</t>
  </si>
  <si>
    <t>Генератор дизельный GENBOX СМ100-S</t>
  </si>
  <si>
    <t>Автокран МАЗ  КС-55727</t>
  </si>
  <si>
    <t>Автокран КС-55713-1В-4 КамАЗ 65115</t>
  </si>
  <si>
    <t>Автокран КС-55713-1В-4 на КамАЗ 65115</t>
  </si>
  <si>
    <t>Экскаватор гусеничный Komatsu РС400-8</t>
  </si>
  <si>
    <t>Бульдозер SHANTUI SD17</t>
  </si>
  <si>
    <t>Автогрейдер LiuGong</t>
  </si>
  <si>
    <t>Каток грунтовый Bomag 215 D-40</t>
  </si>
  <si>
    <t>Каток грунтовый Bomag 212 D-40</t>
  </si>
  <si>
    <t>Каток грунтовый Bomag 216 D-40</t>
  </si>
  <si>
    <t>Автогрейдер Case 865B AWD</t>
  </si>
  <si>
    <t>Самосвал SHACMAN 6x4</t>
  </si>
  <si>
    <t>Автогрейдер John Deere 672G</t>
  </si>
  <si>
    <t>Каток дорожный Bomag BW216-D-40</t>
  </si>
  <si>
    <t>Катки дорожный</t>
  </si>
  <si>
    <t>Дизель-генератор Airman SDG400S</t>
  </si>
  <si>
    <t>Автогрейдер LiuGong CLG4215D</t>
  </si>
  <si>
    <t>Бульдозер Shantui SD17B3 XL</t>
  </si>
  <si>
    <t>Самосвал SITRACK C7H</t>
  </si>
  <si>
    <t>Кран самоходный Palfinger SANY</t>
  </si>
  <si>
    <t>Каток грунтовый  Bomag 216 D-40</t>
  </si>
  <si>
    <t>Погрузчик BOBCAT S770</t>
  </si>
  <si>
    <t>-</t>
  </si>
  <si>
    <t>Каток грунтовый Bomag 120AD-5</t>
  </si>
  <si>
    <t>Электростанция BZ-C250DS</t>
  </si>
  <si>
    <t>BOMAG BW 215 D-40</t>
  </si>
  <si>
    <t>Асфальтоукладчик Volvo P7820D</t>
  </si>
  <si>
    <t>Трактор LOVOL TH854</t>
  </si>
  <si>
    <t>BOMAG BW 212 D-40</t>
  </si>
  <si>
    <t>А/бетоносмес. на ш.Камаз 43118</t>
  </si>
  <si>
    <t>Экскаватор гусеничный HITACHI ZX330-5A</t>
  </si>
  <si>
    <t>МО-87 А/бетоносмес. 58147D на ш.Камаз 65115-D3</t>
  </si>
  <si>
    <t>С/Тягач MAN 6*6</t>
  </si>
  <si>
    <t>А/бетоносмес. SCHWING на ш. MB ACTROS</t>
  </si>
  <si>
    <t>Трактор LOVOL TH853</t>
  </si>
  <si>
    <t>А/бетоносмес. 5814T6 на ш.Камаз</t>
  </si>
  <si>
    <t>А/бетоносмес. 5814T6 на шасси КамАЗ 43118</t>
  </si>
  <si>
    <t>А/бетоносмес. на шасси Howo</t>
  </si>
  <si>
    <t>Компрессор Airman PDSF-330DPС</t>
  </si>
  <si>
    <t>Дизель-генератор SDMO Montana J33</t>
  </si>
  <si>
    <t>Дизель-генератор WINDSTORM WSE80E</t>
  </si>
  <si>
    <t>Дизель-генератор WINDSTORM WSE125E</t>
  </si>
  <si>
    <t>Экскаватор-погрузчик Komatsu WB93S-5</t>
  </si>
  <si>
    <t>Дизель-генератор WINDSTORM WSE100E</t>
  </si>
  <si>
    <t>Компрессор Airman PDSF330DPC</t>
  </si>
  <si>
    <t>Дизель-генератор CTG88CS</t>
  </si>
  <si>
    <t xml:space="preserve">Экскаватор гусеничный Caterpillar 320DL </t>
  </si>
  <si>
    <t>Компрессор КВ-10/10</t>
  </si>
  <si>
    <t>Экскаватор колесный Doosan 180WV</t>
  </si>
  <si>
    <t>Электростанция Caterpillar</t>
  </si>
  <si>
    <t>Экскаватор колесный HYUNDAI R 210W 9S</t>
  </si>
  <si>
    <t>Экскаватор гусеничный SUNWARD SWE335F</t>
  </si>
  <si>
    <t>Экскаватор гусеничный SUNWARD SWE265F</t>
  </si>
  <si>
    <t>Бульдозер Liebherr PR 736 XL</t>
  </si>
  <si>
    <t>Тип Бульдозеры</t>
  </si>
  <si>
    <t>Экскаватор SANY SY330</t>
  </si>
  <si>
    <t>Самосвал SITRAK 6*6</t>
  </si>
  <si>
    <r>
      <rPr>
        <sz val="8"/>
        <color rgb="FF000000"/>
        <rFont val="PT Astra Serif"/>
      </rPr>
      <t>Кран гусеничный SANY SCC1000A-5</t>
    </r>
  </si>
  <si>
    <t>Погрузчик JCB 3CX SM-4T</t>
  </si>
  <si>
    <t>Экскаватор гусеничный XCMG XE335C</t>
  </si>
  <si>
    <t>Автокран ZOOMLION ZTC1500</t>
  </si>
  <si>
    <t>Машина сваебойная MAZAKA MW1000</t>
  </si>
  <si>
    <t>Экскаватор Komatsu PC-300-8</t>
  </si>
  <si>
    <t>Автокран ZOOMLION ZTC800V</t>
  </si>
  <si>
    <t>Автогрейдер LiuGong 4215D</t>
  </si>
  <si>
    <t>Экскаватор гусеничный XCMG XE 335C</t>
  </si>
  <si>
    <t>Экскаватор SANY SY330H</t>
  </si>
  <si>
    <t>Тип ТС</t>
  </si>
  <si>
    <t>Гос. №</t>
  </si>
  <si>
    <t>Филиал</t>
  </si>
  <si>
    <t>Норма расхода, л/час</t>
  </si>
  <si>
    <t>Бульдозер</t>
  </si>
  <si>
    <t>8914РА77</t>
  </si>
  <si>
    <t>БСМ-мост</t>
  </si>
  <si>
    <t>3214ХА27</t>
  </si>
  <si>
    <t>8925АР28</t>
  </si>
  <si>
    <t>3020ОЕ72</t>
  </si>
  <si>
    <t>ДСУ</t>
  </si>
  <si>
    <t>1372то72</t>
  </si>
  <si>
    <t>0809ок72</t>
  </si>
  <si>
    <t>0810ок72</t>
  </si>
  <si>
    <t>6931ОЕ72</t>
  </si>
  <si>
    <t>7719ОЕ72</t>
  </si>
  <si>
    <t>3993хе50</t>
  </si>
  <si>
    <t>МО15</t>
  </si>
  <si>
    <t>1784та86</t>
  </si>
  <si>
    <t>МО29</t>
  </si>
  <si>
    <t>8529ов72</t>
  </si>
  <si>
    <t>МО36</t>
  </si>
  <si>
    <t>8527ов72</t>
  </si>
  <si>
    <t>5351оа72</t>
  </si>
  <si>
    <t>4471ОЕ72</t>
  </si>
  <si>
    <t>4472ОЕ72</t>
  </si>
  <si>
    <t>1849то72</t>
  </si>
  <si>
    <t>8593ов72</t>
  </si>
  <si>
    <t>3585ОЕ72</t>
  </si>
  <si>
    <t>0023оа72</t>
  </si>
  <si>
    <t>МО87</t>
  </si>
  <si>
    <t>1688то72</t>
  </si>
  <si>
    <t>Каток асфальтный</t>
  </si>
  <si>
    <t>8827ОА72</t>
  </si>
  <si>
    <t>8824ОА72</t>
  </si>
  <si>
    <t>0378ТА72</t>
  </si>
  <si>
    <t>0379ТА72</t>
  </si>
  <si>
    <t>7589ОВ72</t>
  </si>
  <si>
    <t>6981ОА72</t>
  </si>
  <si>
    <t>7045ОА72</t>
  </si>
  <si>
    <t>7586ОВ72</t>
  </si>
  <si>
    <t>6980ОА72</t>
  </si>
  <si>
    <t>8878ОВ72</t>
  </si>
  <si>
    <t>8874ОВ72</t>
  </si>
  <si>
    <t>8875ОВ72</t>
  </si>
  <si>
    <t>8876ОВ72</t>
  </si>
  <si>
    <t>6982ОА72</t>
  </si>
  <si>
    <t>Каток грунтовый</t>
  </si>
  <si>
    <t>7368ОВ72</t>
  </si>
  <si>
    <t>4611ое72</t>
  </si>
  <si>
    <t>7627ОЕ72</t>
  </si>
  <si>
    <t>7630ОЕ72</t>
  </si>
  <si>
    <t>7625ОЕ72</t>
  </si>
  <si>
    <t>7628ОЕ72</t>
  </si>
  <si>
    <t>7629ОЕ72</t>
  </si>
  <si>
    <t>7624ОЕ72</t>
  </si>
  <si>
    <t>4612ое72</t>
  </si>
  <si>
    <t>0208ОА72</t>
  </si>
  <si>
    <t>0383ТА72</t>
  </si>
  <si>
    <t>8617ТО72</t>
  </si>
  <si>
    <t>6645ТА72</t>
  </si>
  <si>
    <t>8828ОА72</t>
  </si>
  <si>
    <t>7807ОА72</t>
  </si>
  <si>
    <t>7893ОА72</t>
  </si>
  <si>
    <t>7894ОА72</t>
  </si>
  <si>
    <t>6513ОА72</t>
  </si>
  <si>
    <t>Погрузчик</t>
  </si>
  <si>
    <t>3378ХА27</t>
  </si>
  <si>
    <t>8924АР28</t>
  </si>
  <si>
    <t>8923АР28</t>
  </si>
  <si>
    <t>3382ХА27</t>
  </si>
  <si>
    <t>3383ХА27</t>
  </si>
  <si>
    <t>7408АР28</t>
  </si>
  <si>
    <t>8425ов72</t>
  </si>
  <si>
    <t>9460то72</t>
  </si>
  <si>
    <t>5785тк72</t>
  </si>
  <si>
    <t>7501ов72</t>
  </si>
  <si>
    <t>8932ов72</t>
  </si>
  <si>
    <t>7500ов72</t>
  </si>
  <si>
    <t>9010ов72</t>
  </si>
  <si>
    <t>5112ур86</t>
  </si>
  <si>
    <t>1798ов72</t>
  </si>
  <si>
    <t>7510ов72</t>
  </si>
  <si>
    <t>3100ОЕ72</t>
  </si>
  <si>
    <t>2687ОЕ72</t>
  </si>
  <si>
    <t>2688ОЕ72</t>
  </si>
  <si>
    <t>2686ОЕ72</t>
  </si>
  <si>
    <t>0538ОЕ72</t>
  </si>
  <si>
    <t>9776ТК72</t>
  </si>
  <si>
    <t>0770ое72</t>
  </si>
  <si>
    <t>3099ОЕ72</t>
  </si>
  <si>
    <t>1930ОЕ72</t>
  </si>
  <si>
    <t>0028оа72</t>
  </si>
  <si>
    <t>Экскаватор гусеничный</t>
  </si>
  <si>
    <t>0790ок72</t>
  </si>
  <si>
    <t>0812ОК72</t>
  </si>
  <si>
    <t>7455АР28</t>
  </si>
  <si>
    <t>3377ХА27</t>
  </si>
  <si>
    <t>7400АР28</t>
  </si>
  <si>
    <t>0816ОК72</t>
  </si>
  <si>
    <t>9477то72</t>
  </si>
  <si>
    <t>0458ок72</t>
  </si>
  <si>
    <t>0504ок72</t>
  </si>
  <si>
    <t>3374ОЕ72</t>
  </si>
  <si>
    <t>3373ОЕ72</t>
  </si>
  <si>
    <t>3375ОЕ72</t>
  </si>
  <si>
    <t>7718ОЕ72</t>
  </si>
  <si>
    <t>3724хе50</t>
  </si>
  <si>
    <t>9748ХО50</t>
  </si>
  <si>
    <t>5056УМ86</t>
  </si>
  <si>
    <t>2741ое72</t>
  </si>
  <si>
    <t>8940ое72</t>
  </si>
  <si>
    <t>8939ое72</t>
  </si>
  <si>
    <t>9735ОЕ72</t>
  </si>
  <si>
    <t>8758ов72</t>
  </si>
  <si>
    <t>2738ое72</t>
  </si>
  <si>
    <t>4682то72</t>
  </si>
  <si>
    <t>9734ОЕ72</t>
  </si>
  <si>
    <t>8961ОА72</t>
  </si>
  <si>
    <t>9088оа72</t>
  </si>
  <si>
    <t>6961ОЕ72</t>
  </si>
  <si>
    <t>8551ов72</t>
  </si>
  <si>
    <t>5354оа72</t>
  </si>
  <si>
    <t>6029оа72</t>
  </si>
  <si>
    <t>1882то72</t>
  </si>
  <si>
    <t>8989ОА72</t>
  </si>
  <si>
    <t>7258тк72</t>
  </si>
  <si>
    <t>2739ое72</t>
  </si>
  <si>
    <t>4683то72</t>
  </si>
  <si>
    <t>0089ОК72</t>
  </si>
  <si>
    <t>1936ое72</t>
  </si>
  <si>
    <t>1611тр72</t>
  </si>
  <si>
    <t>3388тс72</t>
  </si>
  <si>
    <t>Экскаватор колесный</t>
  </si>
  <si>
    <t>0455ок72</t>
  </si>
  <si>
    <t>1717ов72</t>
  </si>
  <si>
    <t>8528ОВ72</t>
  </si>
  <si>
    <t>8526ОВ72</t>
  </si>
  <si>
    <t>6976оа72</t>
  </si>
  <si>
    <t>2855то72</t>
  </si>
  <si>
    <t>6972оа72</t>
  </si>
  <si>
    <t>3104ОЕ72</t>
  </si>
  <si>
    <t>Экскаватор-погрузчик</t>
  </si>
  <si>
    <t>0451ое72</t>
  </si>
  <si>
    <t>7388АР28</t>
  </si>
  <si>
    <t>7428АР28</t>
  </si>
  <si>
    <t>3219ХА27</t>
  </si>
  <si>
    <t>1702ов72</t>
  </si>
  <si>
    <t>0457ок72</t>
  </si>
  <si>
    <t>0456ок72</t>
  </si>
  <si>
    <t>9990хо50</t>
  </si>
  <si>
    <t>3806хо50</t>
  </si>
  <si>
    <t>9831ХО50</t>
  </si>
  <si>
    <t>3101ОЕ72</t>
  </si>
  <si>
    <t>1453тк72</t>
  </si>
  <si>
    <t>7953ое72</t>
  </si>
  <si>
    <t>3366ОВ72</t>
  </si>
  <si>
    <t>7649оа72</t>
  </si>
  <si>
    <t>3615тр72</t>
  </si>
  <si>
    <t>7246ов72</t>
  </si>
  <si>
    <t>Краны гусеничные, г/п 100</t>
  </si>
  <si>
    <t>5598ое72</t>
  </si>
  <si>
    <t>СКТ</t>
  </si>
  <si>
    <t>Краны гусеничные, г/п 70</t>
  </si>
  <si>
    <t>5516ту72</t>
  </si>
  <si>
    <t>Краны автомобильные, г/п 32</t>
  </si>
  <si>
    <t>х209ео72</t>
  </si>
  <si>
    <t>Краны автомобильные, г/п 150</t>
  </si>
  <si>
    <t>Р362СХ186</t>
  </si>
  <si>
    <t>БСМ</t>
  </si>
  <si>
    <t>Краны пневмоколёсные, г/п 55</t>
  </si>
  <si>
    <t>0813ОК72</t>
  </si>
  <si>
    <t>Краны пневмоколёсные, г/п 50</t>
  </si>
  <si>
    <t>7285ОЕ72</t>
  </si>
  <si>
    <t>Краны автомобильные, г/п 25</t>
  </si>
  <si>
    <t>у363кт72</t>
  </si>
  <si>
    <t>Р526СН186</t>
  </si>
  <si>
    <t>Краны автомобильные, г/п 100</t>
  </si>
  <si>
    <t>О601МК797</t>
  </si>
  <si>
    <t>Краны пневмоколёсные, г/п 80</t>
  </si>
  <si>
    <t>2794ое72</t>
  </si>
  <si>
    <t>а134сс172</t>
  </si>
  <si>
    <t>Р520РХ186</t>
  </si>
  <si>
    <t>Краны автомобильные, г/п 40</t>
  </si>
  <si>
    <t>у334ту750</t>
  </si>
  <si>
    <t>9256тк72</t>
  </si>
  <si>
    <t>6773та72</t>
  </si>
  <si>
    <t>2779ое72</t>
  </si>
  <si>
    <t>7812оа72</t>
  </si>
  <si>
    <t>Р162СХ186</t>
  </si>
  <si>
    <t>х207ео72</t>
  </si>
  <si>
    <t>Краны гусеничные, г/п 75</t>
  </si>
  <si>
    <t>7503АР28</t>
  </si>
  <si>
    <t>7524АР28</t>
  </si>
  <si>
    <t>0139то72</t>
  </si>
  <si>
    <t>Р038ХА186</t>
  </si>
  <si>
    <t>Краны автомобильные, г/п 80</t>
  </si>
  <si>
    <t>Р013ТО186</t>
  </si>
  <si>
    <t>Р882ОУ186</t>
  </si>
  <si>
    <t>Е841ОВ797</t>
  </si>
  <si>
    <t>Краны автомобильные, г/п 70</t>
  </si>
  <si>
    <t>8915АР28</t>
  </si>
  <si>
    <t>К235ВТ27</t>
  </si>
  <si>
    <t>В167НА797</t>
  </si>
  <si>
    <t>Х774МТ72</t>
  </si>
  <si>
    <t>К805НУ797</t>
  </si>
  <si>
    <t>К607ВХ797</t>
  </si>
  <si>
    <t>9273ое72</t>
  </si>
  <si>
    <t>9805тв86</t>
  </si>
  <si>
    <t>9272ое72</t>
  </si>
  <si>
    <t>у791ка750</t>
  </si>
  <si>
    <t>А564НА797</t>
  </si>
  <si>
    <t>Краны гусеничные, г/п 280</t>
  </si>
  <si>
    <t>2323то72</t>
  </si>
  <si>
    <t>Краны гусеничные, г/п 180</t>
  </si>
  <si>
    <t>4352ов72</t>
  </si>
  <si>
    <t>1668оа72</t>
  </si>
  <si>
    <t>3431тк72</t>
  </si>
  <si>
    <t>5518ое72</t>
  </si>
  <si>
    <t>с061хх72</t>
  </si>
  <si>
    <t>Краны гусеничные, г/п 200</t>
  </si>
  <si>
    <t>0199ое72</t>
  </si>
  <si>
    <t>1669оа72</t>
  </si>
  <si>
    <t>2013ое72</t>
  </si>
  <si>
    <t>4451уе86</t>
  </si>
  <si>
    <t>К633ХО186</t>
  </si>
  <si>
    <t>с092хх72</t>
  </si>
  <si>
    <t>Краны автомобильные, г/п 90</t>
  </si>
  <si>
    <t>м532кр72</t>
  </si>
  <si>
    <t>Краны гусеничные, г/п 63</t>
  </si>
  <si>
    <t>5055ум86</t>
  </si>
  <si>
    <t>к644нх186</t>
  </si>
  <si>
    <t>Е941СР186</t>
  </si>
  <si>
    <t>Х702МУ72</t>
  </si>
  <si>
    <t>Е557РМ186</t>
  </si>
  <si>
    <t>Краны гусеничные, г/п 40</t>
  </si>
  <si>
    <t>2241хо86</t>
  </si>
  <si>
    <t>0946то72</t>
  </si>
  <si>
    <t>7296ов72</t>
  </si>
  <si>
    <t>0024оа72</t>
  </si>
  <si>
    <t>о942хе72</t>
  </si>
  <si>
    <t>х614му72</t>
  </si>
  <si>
    <t>о964нв72</t>
  </si>
  <si>
    <t>3625тх72</t>
  </si>
  <si>
    <t>2517тв72</t>
  </si>
  <si>
    <t>0025оа72</t>
  </si>
  <si>
    <t>о487се89</t>
  </si>
  <si>
    <t>Краны пневмоколёсные, г/п 45</t>
  </si>
  <si>
    <t>1862ое72</t>
  </si>
  <si>
    <t>1935ое72</t>
  </si>
  <si>
    <t>р864км72</t>
  </si>
  <si>
    <t>Краны гусеничные, г/п 250</t>
  </si>
  <si>
    <t>6460ов72</t>
  </si>
  <si>
    <t>Краны гусеничные, г/п 125</t>
  </si>
  <si>
    <t>2202ое72</t>
  </si>
  <si>
    <t>8099оа72</t>
  </si>
  <si>
    <t>7984тк72</t>
  </si>
  <si>
    <t>р163ке72</t>
  </si>
  <si>
    <t>р182ес72</t>
  </si>
  <si>
    <t>у063ск72</t>
  </si>
  <si>
    <t>Краны автомобильные, г/п 95</t>
  </si>
  <si>
    <t>Х113УО86</t>
  </si>
  <si>
    <t>Краны автомобильные, г/п 65</t>
  </si>
  <si>
    <t>к957уе72</t>
  </si>
  <si>
    <t>к604ан186</t>
  </si>
  <si>
    <t>Х009ХН86</t>
  </si>
  <si>
    <t>х118ео72</t>
  </si>
  <si>
    <t>2314ОЕ72</t>
  </si>
  <si>
    <t>Краны пневмоколёсные, г/п 60</t>
  </si>
  <si>
    <t>1796тк72</t>
  </si>
  <si>
    <t>8029оа72</t>
  </si>
  <si>
    <t>о430нх72</t>
  </si>
  <si>
    <t>о945сс152</t>
  </si>
  <si>
    <t>Х683МТ72</t>
  </si>
  <si>
    <t>у876хн72</t>
  </si>
  <si>
    <t>Краны гусеничные, г/п 32</t>
  </si>
  <si>
    <t>1766ов72</t>
  </si>
  <si>
    <t>5517ое72</t>
  </si>
  <si>
    <t>р069ес72</t>
  </si>
  <si>
    <t>0945то72</t>
  </si>
  <si>
    <t>4108тв86</t>
  </si>
  <si>
    <t>3428та72</t>
  </si>
  <si>
    <t>3726хе50</t>
  </si>
  <si>
    <t>Х403МА72</t>
  </si>
  <si>
    <t>1105ум86</t>
  </si>
  <si>
    <t>7985тк72</t>
  </si>
  <si>
    <t>3123ОА72</t>
  </si>
  <si>
    <t>к793аа186</t>
  </si>
  <si>
    <t>а137хе89</t>
  </si>
  <si>
    <t>Х611МТ72</t>
  </si>
  <si>
    <t>Х217МР72</t>
  </si>
  <si>
    <t>Краны гусеничные, г/п 160</t>
  </si>
  <si>
    <t>8264ов72</t>
  </si>
  <si>
    <t>Краны автомобильные, г/п 160</t>
  </si>
  <si>
    <t>к170ут72</t>
  </si>
  <si>
    <t>7062ов72</t>
  </si>
  <si>
    <t>а701ах172</t>
  </si>
  <si>
    <t>Краны гусеничные, г/п 80</t>
  </si>
  <si>
    <t>3018ов72</t>
  </si>
  <si>
    <t>3727хе50</t>
  </si>
  <si>
    <t>у388ту750</t>
  </si>
  <si>
    <t>о217ос72</t>
  </si>
  <si>
    <t>у272ту750</t>
  </si>
  <si>
    <t>о943хе72</t>
  </si>
  <si>
    <t>у945хе72</t>
  </si>
  <si>
    <t>К128МО797</t>
  </si>
  <si>
    <t>Н921МС797</t>
  </si>
  <si>
    <t>В153НЕ797</t>
  </si>
  <si>
    <t>3725хе50</t>
  </si>
  <si>
    <t>1 смена</t>
  </si>
  <si>
    <t>КИП</t>
  </si>
  <si>
    <t>Нагрузка</t>
  </si>
  <si>
    <t>2 смена</t>
  </si>
  <si>
    <t>№ заявки</t>
  </si>
  <si>
    <t>Маурер-Мостострой-11</t>
  </si>
  <si>
    <t>ID</t>
  </si>
  <si>
    <t>Вн. Заказчик</t>
  </si>
  <si>
    <t>ТФ "Мостоотряд-87" филиал АО "Мостострой-11"</t>
  </si>
  <si>
    <t>СУ Мостострой-11</t>
  </si>
  <si>
    <t>ТФ "Мостоотряд-36" филиал АО "Мостострой-11"</t>
  </si>
  <si>
    <t>ТФ "Мостоотряд-15" филиал АО "Мостострой-11"</t>
  </si>
  <si>
    <t>ДСУ Мостострой-11</t>
  </si>
  <si>
    <t>ООО БСМ-МОСТ</t>
  </si>
  <si>
    <t>ТФ "Мостоотряд-29" филиал АО "Мостострой-11"</t>
  </si>
  <si>
    <t>Самосвалы НПС // Мостострой-11</t>
  </si>
  <si>
    <t>Период</t>
  </si>
  <si>
    <t>Месяц</t>
  </si>
  <si>
    <t>Неделя</t>
  </si>
  <si>
    <t>СМУ</t>
  </si>
  <si>
    <t>Регион</t>
  </si>
  <si>
    <t>Кол-во ТС</t>
  </si>
  <si>
    <t>с "дата" по "дата"</t>
  </si>
  <si>
    <t>Выработка</t>
  </si>
  <si>
    <t>КИП, %</t>
  </si>
  <si>
    <t>В движении,%</t>
  </si>
  <si>
    <t>№ п/п</t>
  </si>
  <si>
    <t>Марка</t>
  </si>
  <si>
    <t>гос.№</t>
  </si>
  <si>
    <t>Заявитель</t>
  </si>
  <si>
    <t>Объект затрат</t>
  </si>
  <si>
    <t>Объем, т</t>
  </si>
  <si>
    <t>План по заявке</t>
  </si>
  <si>
    <t>Факт по навигации</t>
  </si>
  <si>
    <t>Рейсы</t>
  </si>
  <si>
    <t>Объём</t>
  </si>
  <si>
    <t xml:space="preserve">Остаток </t>
  </si>
  <si>
    <t>Простой</t>
  </si>
  <si>
    <t>Погрузка</t>
  </si>
  <si>
    <t>Выгрузка</t>
  </si>
  <si>
    <t>1. Цель сделать инструмент аналитики выработки самосвалов. 2. 1 блок (шапка с фильтрами) 																			Выработка				
Период			Неделя		Месяц с "дата" по "дата"			СМУ				Регион				Кол-во ТС				1 смена			2 смена	
																		КИП, %	В движении,%		КИП, %	В движении,%
Неделя и месяц используются для выбора дат диапозона, СМУ раскрывающийся список объектов строительства, Регион также раскрывающийся список, кол-во ТС при выборе сму или региона, изначально общее кол-во, 1 смена и 2 смена показывают проценты загрузки, меняют при применении фильтров выбранных ранее. 
3. данные телеметрии берем через API из навигации с разбивкой по сменам: 1 смена с 7:30 до 19:30 и 2 смена с 19:30 до 7:30 . На карте будут прорисованны зоны погрузки , при пересечении зоны идёт отчёт времени нахождения в зоне до момента выхода из зоны, при этом при выезде из зоны засчитывается 1 рейс который накапливается по каждой машине в течении смены. Далеена основании данных телеметрии считаются данные по КИП и и движении. 4. технологии теже</t>
  </si>
  <si>
    <t xml:space="preserve">Архитектура страницы (Layout)
Блок 2: Табличная часть - шапка: № п/п Марка гос.№ План по заявке Факт по навигации : № заявки Заявитель Объект затрат Объем, т	Рейсы Объём Остаток 	Простой Погрузка Простой Выгрузка
В ней заполняются данные за выбраный период (по умолчанию вчерашний день) При выборе других фильтров данные меняются
Расчетные показатели:
КИП (%): Отношение времени работы ДВС к максимольно возможной работы ДВС в смену 10 часов (если ДВС проработал более 10 часов то процент будет 100% не более).
В движении (%): Процент времени, когда ТС имело скорость &gt; 0 в течение максимольно возможной работы ДВС в смену 10 часов (если движение более 10 часов то процент будет 100% не более).
</t>
  </si>
  <si>
    <r>
      <t>Для создания собственной навигационной системы «под ключ» нам понадобится объединить </t>
    </r>
    <r>
      <rPr>
        <b/>
        <sz val="12"/>
        <color rgb="FF0A0A0A"/>
        <rFont val="Arial"/>
        <family val="2"/>
        <charset val="204"/>
      </rPr>
      <t>TCP-сервер</t>
    </r>
    <r>
      <rPr>
        <sz val="12"/>
        <color rgb="FF0A0A0A"/>
        <rFont val="Arial"/>
        <family val="2"/>
        <charset val="204"/>
      </rPr>
      <t> (прием данных), </t>
    </r>
    <r>
      <rPr>
        <b/>
        <sz val="12"/>
        <color rgb="FF0A0A0A"/>
        <rFont val="Arial"/>
        <family val="2"/>
        <charset val="204"/>
      </rPr>
      <t>Базу данных</t>
    </r>
    <r>
      <rPr>
        <sz val="12"/>
        <color rgb="FF0A0A0A"/>
        <rFont val="Arial"/>
        <family val="2"/>
        <charset val="204"/>
      </rPr>
      <t> (хранение) и </t>
    </r>
    <r>
      <rPr>
        <b/>
        <sz val="12"/>
        <color rgb="FF0A0A0A"/>
        <rFont val="Arial"/>
        <family val="2"/>
        <charset val="204"/>
      </rPr>
      <t>Web-интерфейс</t>
    </r>
    <r>
      <rPr>
        <sz val="12"/>
        <color rgb="FF0A0A0A"/>
        <rFont val="Arial"/>
        <family val="2"/>
        <charset val="204"/>
      </rPr>
      <t> (карта и отчеты).</t>
    </r>
  </si>
  <si>
    <r>
      <t>Ниже представлен полный код системы на стеке </t>
    </r>
    <r>
      <rPr>
        <b/>
        <sz val="12"/>
        <color rgb="FF0A0A0A"/>
        <rFont val="Arial"/>
        <family val="2"/>
        <charset val="204"/>
      </rPr>
      <t>Python (FastAPI + Asyncio) + PostgreSQL + Leaflet</t>
    </r>
    <r>
      <rPr>
        <sz val="12"/>
        <color rgb="FF0A0A0A"/>
        <rFont val="Arial"/>
        <family val="2"/>
        <charset val="204"/>
      </rPr>
      <t>.</t>
    </r>
  </si>
  <si>
    <t>1. Подготовка Базы Данных (SQL)</t>
  </si>
  <si>
    <t>Выполни этот запрос в своей PostgreSQL, чтобы создать структуру с поддержкой геометрии и датчиков:</t>
  </si>
  <si>
    <t>sql</t>
  </si>
  <si>
    <r>
      <t>CREATE</t>
    </r>
    <r>
      <rPr>
        <sz val="10"/>
        <color rgb="FF0A0A0A"/>
        <rFont val="Arial Unicode MS"/>
      </rPr>
      <t xml:space="preserve"> EXTENSION </t>
    </r>
    <r>
      <rPr>
        <sz val="10"/>
        <color rgb="FF9334E6"/>
        <rFont val="Arial Unicode MS"/>
      </rPr>
      <t>IF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NOT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EXISTS</t>
    </r>
    <r>
      <rPr>
        <sz val="10"/>
        <color rgb="FF0A0A0A"/>
        <rFont val="Arial Unicode MS"/>
      </rPr>
      <t xml:space="preserve"> postgis;</t>
    </r>
  </si>
  <si>
    <r>
      <t>CREATE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TABLE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IF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NOT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EXISTS</t>
    </r>
    <r>
      <rPr>
        <sz val="10"/>
        <color rgb="FF0A0A0A"/>
        <rFont val="Arial Unicode MS"/>
      </rPr>
      <t xml:space="preserve"> units (</t>
    </r>
  </si>
  <si>
    <r>
      <t xml:space="preserve">    id SERIAL </t>
    </r>
    <r>
      <rPr>
        <sz val="10"/>
        <color rgb="FF9334E6"/>
        <rFont val="Arial Unicode MS"/>
      </rPr>
      <t>PRIMARY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KEY</t>
    </r>
    <r>
      <rPr>
        <sz val="10"/>
        <color rgb="FF0A0A0A"/>
        <rFont val="Arial Unicode MS"/>
      </rPr>
      <t>,</t>
    </r>
  </si>
  <si>
    <r>
      <t xml:space="preserve">    imei VARCHAR(</t>
    </r>
    <r>
      <rPr>
        <sz val="10"/>
        <color rgb="FFB45908"/>
        <rFont val="Arial Unicode MS"/>
      </rPr>
      <t>20</t>
    </r>
    <r>
      <rPr>
        <sz val="10"/>
        <color rgb="FF0A0A0A"/>
        <rFont val="Arial Unicode MS"/>
      </rPr>
      <t xml:space="preserve">) </t>
    </r>
    <r>
      <rPr>
        <sz val="10"/>
        <color rgb="FF9334E6"/>
        <rFont val="Arial Unicode MS"/>
      </rPr>
      <t>UNIQUE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NOT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NULL</t>
    </r>
  </si>
  <si>
    <t>);</t>
  </si>
  <si>
    <r>
      <t>CREATE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TABLE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IF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NOT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EXISTS</t>
    </r>
    <r>
      <rPr>
        <sz val="10"/>
        <color rgb="FF0A0A0A"/>
        <rFont val="Arial Unicode MS"/>
      </rPr>
      <t xml:space="preserve"> telemetry (</t>
    </r>
  </si>
  <si>
    <r>
      <t xml:space="preserve">    id BIGSERIAL </t>
    </r>
    <r>
      <rPr>
        <sz val="10"/>
        <color rgb="FF9334E6"/>
        <rFont val="Arial Unicode MS"/>
      </rPr>
      <t>PRIMARY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KEY</t>
    </r>
    <r>
      <rPr>
        <sz val="10"/>
        <color rgb="FF0A0A0A"/>
        <rFont val="Arial Unicode MS"/>
      </rPr>
      <t>,</t>
    </r>
  </si>
  <si>
    <r>
      <t xml:space="preserve">    unit_id INTEGER </t>
    </r>
    <r>
      <rPr>
        <sz val="10"/>
        <color rgb="FF9334E6"/>
        <rFont val="Arial Unicode MS"/>
      </rPr>
      <t>REFERENCES</t>
    </r>
    <r>
      <rPr>
        <sz val="10"/>
        <color rgb="FF0A0A0A"/>
        <rFont val="Arial Unicode MS"/>
      </rPr>
      <t xml:space="preserve"> units(id),</t>
    </r>
  </si>
  <si>
    <r>
      <t xml:space="preserve">    dev_time </t>
    </r>
    <r>
      <rPr>
        <sz val="10"/>
        <color rgb="FF9334E6"/>
        <rFont val="Arial Unicode MS"/>
      </rPr>
      <t>TIMESTAMP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NOT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NULL</t>
    </r>
    <r>
      <rPr>
        <sz val="10"/>
        <color rgb="FF0A0A0A"/>
        <rFont val="Arial Unicode MS"/>
      </rPr>
      <t>,</t>
    </r>
  </si>
  <si>
    <r>
      <t xml:space="preserve">    coords GEOGRAPHY(Point, </t>
    </r>
    <r>
      <rPr>
        <sz val="10"/>
        <color rgb="FFB45908"/>
        <rFont val="Arial Unicode MS"/>
      </rPr>
      <t>4326</t>
    </r>
    <r>
      <rPr>
        <sz val="10"/>
        <color rgb="FF0A0A0A"/>
        <rFont val="Arial Unicode MS"/>
      </rPr>
      <t>),</t>
    </r>
  </si>
  <si>
    <t xml:space="preserve">    speed REAL,</t>
  </si>
  <si>
    <r>
      <t xml:space="preserve">    fuel REAL,      </t>
    </r>
    <r>
      <rPr>
        <i/>
        <sz val="10"/>
        <color rgb="FF80868B"/>
        <rFont val="Arial Unicode MS"/>
      </rPr>
      <t>-- Датчик уровня топлива</t>
    </r>
  </si>
  <si>
    <r>
      <t xml:space="preserve">    ignition INT,   </t>
    </r>
    <r>
      <rPr>
        <i/>
        <sz val="10"/>
        <color rgb="FF80868B"/>
        <rFont val="Arial Unicode MS"/>
      </rPr>
      <t>-- 1 - вкл, 0 - выкл</t>
    </r>
  </si>
  <si>
    <t xml:space="preserve">    attributes JSONB</t>
  </si>
  <si>
    <r>
      <t>CREATE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INDEX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IF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NOT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EXISTS</t>
    </r>
    <r>
      <rPr>
        <sz val="10"/>
        <color rgb="FF0A0A0A"/>
        <rFont val="Arial Unicode MS"/>
      </rPr>
      <t xml:space="preserve"> idx_telemetry_time </t>
    </r>
    <r>
      <rPr>
        <sz val="10"/>
        <color rgb="FF9334E6"/>
        <rFont val="Arial Unicode MS"/>
      </rPr>
      <t>ON</t>
    </r>
    <r>
      <rPr>
        <sz val="10"/>
        <color rgb="FF0A0A0A"/>
        <rFont val="Arial Unicode MS"/>
      </rPr>
      <t xml:space="preserve"> telemetry (unit_id, dev_time </t>
    </r>
    <r>
      <rPr>
        <sz val="10"/>
        <color rgb="FF9334E6"/>
        <rFont val="Arial Unicode MS"/>
      </rPr>
      <t>DESC</t>
    </r>
    <r>
      <rPr>
        <sz val="10"/>
        <color rgb="FF0A0A0A"/>
        <rFont val="Arial Unicode MS"/>
      </rPr>
      <t>);</t>
    </r>
  </si>
  <si>
    <t>Используйте код с осторожностью.</t>
  </si>
  <si>
    <t>2. Серверная часть (Python: TCP + API)</t>
  </si>
  <si>
    <r>
      <t>Этот код одновременно слушает терминалы на порту </t>
    </r>
    <r>
      <rPr>
        <b/>
        <sz val="12"/>
        <color rgb="FF0A0A0A"/>
        <rFont val="Arial"/>
        <family val="2"/>
        <charset val="204"/>
      </rPr>
      <t>5000</t>
    </r>
    <r>
      <rPr>
        <sz val="12"/>
        <color rgb="FF0A0A0A"/>
        <rFont val="Arial"/>
        <family val="2"/>
        <charset val="204"/>
      </rPr>
      <t> и отдает данные для карты на порту </t>
    </r>
    <r>
      <rPr>
        <b/>
        <sz val="12"/>
        <color rgb="FF0A0A0A"/>
        <rFont val="Arial"/>
        <family val="2"/>
        <charset val="204"/>
      </rPr>
      <t>8000</t>
    </r>
    <r>
      <rPr>
        <sz val="12"/>
        <color rgb="FF0A0A0A"/>
        <rFont val="Arial"/>
        <family val="2"/>
        <charset val="204"/>
      </rPr>
      <t>.</t>
    </r>
  </si>
  <si>
    <r>
      <t>Не забудь установить: </t>
    </r>
    <r>
      <rPr>
        <i/>
        <sz val="11"/>
        <color rgb="FF0A0A0A"/>
        <rFont val="Arial Unicode MS"/>
      </rPr>
      <t>pip install asyncpg fastapi uvicorn</t>
    </r>
  </si>
  <si>
    <t>python</t>
  </si>
  <si>
    <r>
      <t>import</t>
    </r>
    <r>
      <rPr>
        <sz val="10"/>
        <color rgb="FF0A0A0A"/>
        <rFont val="Arial Unicode MS"/>
      </rPr>
      <t xml:space="preserve"> </t>
    </r>
    <r>
      <rPr>
        <sz val="10"/>
        <color rgb="FFB45908"/>
        <rFont val="Arial Unicode MS"/>
      </rPr>
      <t>asyncio</t>
    </r>
  </si>
  <si>
    <r>
      <t>import</t>
    </r>
    <r>
      <rPr>
        <sz val="10"/>
        <color rgb="FF0A0A0A"/>
        <rFont val="Arial Unicode MS"/>
      </rPr>
      <t xml:space="preserve"> </t>
    </r>
    <r>
      <rPr>
        <sz val="10"/>
        <color rgb="FFB45908"/>
        <rFont val="Arial Unicode MS"/>
      </rPr>
      <t>asyncpg</t>
    </r>
  </si>
  <si>
    <r>
      <t>import</t>
    </r>
    <r>
      <rPr>
        <sz val="10"/>
        <color rgb="FF0A0A0A"/>
        <rFont val="Arial Unicode MS"/>
      </rPr>
      <t xml:space="preserve"> </t>
    </r>
    <r>
      <rPr>
        <sz val="10"/>
        <color rgb="FFB45908"/>
        <rFont val="Arial Unicode MS"/>
      </rPr>
      <t>datetime</t>
    </r>
  </si>
  <si>
    <r>
      <t>import</t>
    </r>
    <r>
      <rPr>
        <sz val="10"/>
        <color rgb="FF0A0A0A"/>
        <rFont val="Arial Unicode MS"/>
      </rPr>
      <t xml:space="preserve"> </t>
    </r>
    <r>
      <rPr>
        <sz val="10"/>
        <color rgb="FFB45908"/>
        <rFont val="Arial Unicode MS"/>
      </rPr>
      <t>json</t>
    </r>
  </si>
  <si>
    <r>
      <t>from</t>
    </r>
    <r>
      <rPr>
        <sz val="10"/>
        <color rgb="FF0A0A0A"/>
        <rFont val="Arial Unicode MS"/>
      </rPr>
      <t xml:space="preserve"> </t>
    </r>
    <r>
      <rPr>
        <sz val="10"/>
        <color rgb="FFB45908"/>
        <rFont val="Arial Unicode MS"/>
      </rPr>
      <t>fastapi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import</t>
    </r>
    <r>
      <rPr>
        <sz val="10"/>
        <color rgb="FF0A0A0A"/>
        <rFont val="Arial Unicode MS"/>
      </rPr>
      <t xml:space="preserve"> </t>
    </r>
    <r>
      <rPr>
        <sz val="10"/>
        <color rgb="FFB45908"/>
        <rFont val="Arial Unicode MS"/>
      </rPr>
      <t>FastAPI</t>
    </r>
  </si>
  <si>
    <r>
      <t>from</t>
    </r>
    <r>
      <rPr>
        <sz val="10"/>
        <color rgb="FF0A0A0A"/>
        <rFont val="Arial Unicode MS"/>
      </rPr>
      <t xml:space="preserve"> </t>
    </r>
    <r>
      <rPr>
        <sz val="10"/>
        <color rgb="FFB45908"/>
        <rFont val="Arial Unicode MS"/>
      </rPr>
      <t>fastapi</t>
    </r>
    <r>
      <rPr>
        <sz val="10"/>
        <color rgb="FF0A0A0A"/>
        <rFont val="Arial Unicode MS"/>
      </rPr>
      <t>.</t>
    </r>
    <r>
      <rPr>
        <sz val="10"/>
        <color rgb="FFB45908"/>
        <rFont val="Arial Unicode MS"/>
      </rPr>
      <t>middleware</t>
    </r>
    <r>
      <rPr>
        <sz val="10"/>
        <color rgb="FF0A0A0A"/>
        <rFont val="Arial Unicode MS"/>
      </rPr>
      <t>.</t>
    </r>
    <r>
      <rPr>
        <sz val="10"/>
        <color rgb="FFB45908"/>
        <rFont val="Arial Unicode MS"/>
      </rPr>
      <t>cors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import</t>
    </r>
    <r>
      <rPr>
        <sz val="10"/>
        <color rgb="FF0A0A0A"/>
        <rFont val="Arial Unicode MS"/>
      </rPr>
      <t xml:space="preserve"> </t>
    </r>
    <r>
      <rPr>
        <sz val="10"/>
        <color rgb="FFB45908"/>
        <rFont val="Arial Unicode MS"/>
      </rPr>
      <t>CORSMiddleware</t>
    </r>
  </si>
  <si>
    <t># --- НАСТРОЙКИ ---</t>
  </si>
  <si>
    <r>
      <t>DB_CONFIG</t>
    </r>
    <r>
      <rPr>
        <sz val="10"/>
        <color rgb="FF0A0A0A"/>
        <rFont val="Arial Unicode MS"/>
      </rPr>
      <t xml:space="preserve"> = {</t>
    </r>
    <r>
      <rPr>
        <sz val="10"/>
        <color rgb="FF188038"/>
        <rFont val="Arial Unicode MS"/>
      </rPr>
      <t>'user'</t>
    </r>
    <r>
      <rPr>
        <sz val="10"/>
        <color rgb="FF0A0A0A"/>
        <rFont val="Arial Unicode MS"/>
      </rPr>
      <t xml:space="preserve">: </t>
    </r>
    <r>
      <rPr>
        <sz val="10"/>
        <color rgb="FF188038"/>
        <rFont val="Arial Unicode MS"/>
      </rPr>
      <t>'postgres'</t>
    </r>
    <r>
      <rPr>
        <sz val="10"/>
        <color rgb="FF0A0A0A"/>
        <rFont val="Arial Unicode MS"/>
      </rPr>
      <t xml:space="preserve">, </t>
    </r>
    <r>
      <rPr>
        <sz val="10"/>
        <color rgb="FF188038"/>
        <rFont val="Arial Unicode MS"/>
      </rPr>
      <t>'password'</t>
    </r>
    <r>
      <rPr>
        <sz val="10"/>
        <color rgb="FF0A0A0A"/>
        <rFont val="Arial Unicode MS"/>
      </rPr>
      <t xml:space="preserve">: </t>
    </r>
    <r>
      <rPr>
        <sz val="10"/>
        <color rgb="FF188038"/>
        <rFont val="Arial Unicode MS"/>
      </rPr>
      <t>'your_password'</t>
    </r>
    <r>
      <rPr>
        <sz val="10"/>
        <color rgb="FF0A0A0A"/>
        <rFont val="Arial Unicode MS"/>
      </rPr>
      <t xml:space="preserve">, </t>
    </r>
    <r>
      <rPr>
        <sz val="10"/>
        <color rgb="FF188038"/>
        <rFont val="Arial Unicode MS"/>
      </rPr>
      <t>'database'</t>
    </r>
    <r>
      <rPr>
        <sz val="10"/>
        <color rgb="FF0A0A0A"/>
        <rFont val="Arial Unicode MS"/>
      </rPr>
      <t xml:space="preserve">: </t>
    </r>
    <r>
      <rPr>
        <sz val="10"/>
        <color rgb="FF188038"/>
        <rFont val="Arial Unicode MS"/>
      </rPr>
      <t>'navigation_db'</t>
    </r>
    <r>
      <rPr>
        <sz val="10"/>
        <color rgb="FF0A0A0A"/>
        <rFont val="Arial Unicode MS"/>
      </rPr>
      <t xml:space="preserve">, </t>
    </r>
    <r>
      <rPr>
        <sz val="10"/>
        <color rgb="FF188038"/>
        <rFont val="Arial Unicode MS"/>
      </rPr>
      <t>'host'</t>
    </r>
    <r>
      <rPr>
        <sz val="10"/>
        <color rgb="FF0A0A0A"/>
        <rFont val="Arial Unicode MS"/>
      </rPr>
      <t xml:space="preserve">: </t>
    </r>
    <r>
      <rPr>
        <sz val="10"/>
        <color rgb="FF188038"/>
        <rFont val="Arial Unicode MS"/>
      </rPr>
      <t>'127.0.0.1'</t>
    </r>
    <r>
      <rPr>
        <sz val="10"/>
        <color rgb="FF0A0A0A"/>
        <rFont val="Arial Unicode MS"/>
      </rPr>
      <t>}</t>
    </r>
  </si>
  <si>
    <r>
      <t>TCP_PORT</t>
    </r>
    <r>
      <rPr>
        <sz val="10"/>
        <color rgb="FF0A0A0A"/>
        <rFont val="Arial Unicode MS"/>
      </rPr>
      <t xml:space="preserve"> = </t>
    </r>
    <r>
      <rPr>
        <sz val="10"/>
        <color rgb="FFB45908"/>
        <rFont val="Arial Unicode MS"/>
      </rPr>
      <t>5000</t>
    </r>
  </si>
  <si>
    <r>
      <t>API_PORT</t>
    </r>
    <r>
      <rPr>
        <sz val="10"/>
        <color rgb="FF0A0A0A"/>
        <rFont val="Arial Unicode MS"/>
      </rPr>
      <t xml:space="preserve"> = </t>
    </r>
    <r>
      <rPr>
        <sz val="10"/>
        <color rgb="FFB45908"/>
        <rFont val="Arial Unicode MS"/>
      </rPr>
      <t>8000</t>
    </r>
  </si>
  <si>
    <r>
      <t>app</t>
    </r>
    <r>
      <rPr>
        <sz val="10"/>
        <color rgb="FF0A0A0A"/>
        <rFont val="Arial Unicode MS"/>
      </rPr>
      <t xml:space="preserve"> = FastAPI()</t>
    </r>
  </si>
  <si>
    <r>
      <t>app.add_middleware(CORSMiddleware, allow_origins=[</t>
    </r>
    <r>
      <rPr>
        <sz val="10"/>
        <color rgb="FF188038"/>
        <rFont val="Arial Unicode MS"/>
      </rPr>
      <t>"*"</t>
    </r>
    <r>
      <rPr>
        <sz val="10"/>
        <color rgb="FF0A0A0A"/>
        <rFont val="Arial Unicode MS"/>
      </rPr>
      <t>], allow_methods=[</t>
    </r>
    <r>
      <rPr>
        <sz val="10"/>
        <color rgb="FF188038"/>
        <rFont val="Arial Unicode MS"/>
      </rPr>
      <t>"*"</t>
    </r>
    <r>
      <rPr>
        <sz val="10"/>
        <color rgb="FF0A0A0A"/>
        <rFont val="Arial Unicode MS"/>
      </rPr>
      <t>])</t>
    </r>
  </si>
  <si>
    <r>
      <t>db_pool</t>
    </r>
    <r>
      <rPr>
        <sz val="10"/>
        <color rgb="FF0A0A0A"/>
        <rFont val="Arial Unicode MS"/>
      </rPr>
      <t xml:space="preserve"> = </t>
    </r>
    <r>
      <rPr>
        <sz val="10"/>
        <color rgb="FF9334E6"/>
        <rFont val="Arial Unicode MS"/>
      </rPr>
      <t>None</t>
    </r>
  </si>
  <si>
    <t># --- ЛОГИКА ПРИЕМА ДАННЫХ (TCP) ---</t>
  </si>
  <si>
    <r>
      <t>async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def</t>
    </r>
    <r>
      <rPr>
        <sz val="10"/>
        <color rgb="FF0A0A0A"/>
        <rFont val="Arial Unicode MS"/>
      </rPr>
      <t xml:space="preserve"> </t>
    </r>
    <r>
      <rPr>
        <sz val="10"/>
        <color rgb="FFB45908"/>
        <rFont val="Arial Unicode MS"/>
      </rPr>
      <t>save_to_db</t>
    </r>
    <r>
      <rPr>
        <sz val="10"/>
        <color rgb="FF0A0A0A"/>
        <rFont val="Arial Unicode MS"/>
      </rPr>
      <t>(</t>
    </r>
    <r>
      <rPr>
        <sz val="10"/>
        <color rgb="FFB45908"/>
        <rFont val="Arial Unicode MS"/>
      </rPr>
      <t>imei</t>
    </r>
    <r>
      <rPr>
        <sz val="10"/>
        <color rgb="FF0A0A0A"/>
        <rFont val="Arial Unicode MS"/>
      </rPr>
      <t xml:space="preserve">, </t>
    </r>
    <r>
      <rPr>
        <sz val="10"/>
        <color rgb="FFB45908"/>
        <rFont val="Arial Unicode MS"/>
      </rPr>
      <t>lat</t>
    </r>
    <r>
      <rPr>
        <sz val="10"/>
        <color rgb="FF0A0A0A"/>
        <rFont val="Arial Unicode MS"/>
      </rPr>
      <t xml:space="preserve">, </t>
    </r>
    <r>
      <rPr>
        <sz val="10"/>
        <color rgb="FFB45908"/>
        <rFont val="Arial Unicode MS"/>
      </rPr>
      <t>lon</t>
    </r>
    <r>
      <rPr>
        <sz val="10"/>
        <color rgb="FF0A0A0A"/>
        <rFont val="Arial Unicode MS"/>
      </rPr>
      <t xml:space="preserve">, </t>
    </r>
    <r>
      <rPr>
        <sz val="10"/>
        <color rgb="FFB45908"/>
        <rFont val="Arial Unicode MS"/>
      </rPr>
      <t>speed</t>
    </r>
    <r>
      <rPr>
        <sz val="10"/>
        <color rgb="FF0A0A0A"/>
        <rFont val="Arial Unicode MS"/>
      </rPr>
      <t xml:space="preserve">, </t>
    </r>
    <r>
      <rPr>
        <sz val="10"/>
        <color rgb="FFB45908"/>
        <rFont val="Arial Unicode MS"/>
      </rPr>
      <t>fuel</t>
    </r>
    <r>
      <rPr>
        <sz val="10"/>
        <color rgb="FF0A0A0A"/>
        <rFont val="Arial Unicode MS"/>
      </rPr>
      <t xml:space="preserve">, </t>
    </r>
    <r>
      <rPr>
        <sz val="10"/>
        <color rgb="FFB45908"/>
        <rFont val="Arial Unicode MS"/>
      </rPr>
      <t>ign</t>
    </r>
    <r>
      <rPr>
        <sz val="10"/>
        <color rgb="FF0A0A0A"/>
        <rFont val="Arial Unicode MS"/>
      </rPr>
      <t>):</t>
    </r>
  </si>
  <si>
    <r>
      <t xml:space="preserve">    </t>
    </r>
    <r>
      <rPr>
        <sz val="10"/>
        <color rgb="FF9334E6"/>
        <rFont val="Arial Unicode MS"/>
      </rPr>
      <t>async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with</t>
    </r>
    <r>
      <rPr>
        <sz val="10"/>
        <color rgb="FF0A0A0A"/>
        <rFont val="Arial Unicode MS"/>
      </rPr>
      <t xml:space="preserve"> db_pool.acquire() </t>
    </r>
    <r>
      <rPr>
        <sz val="10"/>
        <color rgb="FF9334E6"/>
        <rFont val="Arial Unicode MS"/>
      </rPr>
      <t>as</t>
    </r>
    <r>
      <rPr>
        <sz val="10"/>
        <color rgb="FF0A0A0A"/>
        <rFont val="Arial Unicode MS"/>
      </rPr>
      <t xml:space="preserve"> </t>
    </r>
    <r>
      <rPr>
        <sz val="10"/>
        <color rgb="FFB45908"/>
        <rFont val="Arial Unicode MS"/>
      </rPr>
      <t>conn</t>
    </r>
    <r>
      <rPr>
        <sz val="10"/>
        <color rgb="FF0A0A0A"/>
        <rFont val="Arial Unicode MS"/>
      </rPr>
      <t>:</t>
    </r>
  </si>
  <si>
    <r>
      <t xml:space="preserve">        </t>
    </r>
    <r>
      <rPr>
        <sz val="10"/>
        <color rgb="FFB45908"/>
        <rFont val="Arial Unicode MS"/>
      </rPr>
      <t>unit</t>
    </r>
    <r>
      <rPr>
        <sz val="10"/>
        <color rgb="FF0A0A0A"/>
        <rFont val="Arial Unicode MS"/>
      </rPr>
      <t xml:space="preserve"> = </t>
    </r>
    <r>
      <rPr>
        <sz val="10"/>
        <color rgb="FF9334E6"/>
        <rFont val="Arial Unicode MS"/>
      </rPr>
      <t>await</t>
    </r>
    <r>
      <rPr>
        <sz val="10"/>
        <color rgb="FF0A0A0A"/>
        <rFont val="Arial Unicode MS"/>
      </rPr>
      <t xml:space="preserve"> conn.fetchrow(</t>
    </r>
    <r>
      <rPr>
        <sz val="10"/>
        <color rgb="FF188038"/>
        <rFont val="Arial Unicode MS"/>
      </rPr>
      <t>"INSERT INTO units (imei) VALUES ($1) ON CONFLICT (imei) DO UPDATE SET imei=EXCLUDED.imei RETURNING id"</t>
    </r>
    <r>
      <rPr>
        <sz val="10"/>
        <color rgb="FF0A0A0A"/>
        <rFont val="Arial Unicode MS"/>
      </rPr>
      <t>, imei)</t>
    </r>
  </si>
  <si>
    <r>
      <t xml:space="preserve">        </t>
    </r>
    <r>
      <rPr>
        <sz val="10"/>
        <color rgb="FF9334E6"/>
        <rFont val="Arial Unicode MS"/>
      </rPr>
      <t>await</t>
    </r>
    <r>
      <rPr>
        <sz val="10"/>
        <color rgb="FF0A0A0A"/>
        <rFont val="Arial Unicode MS"/>
      </rPr>
      <t xml:space="preserve"> conn.execute(</t>
    </r>
    <r>
      <rPr>
        <sz val="10"/>
        <color rgb="FF188038"/>
        <rFont val="Arial Unicode MS"/>
      </rPr>
      <t>"""</t>
    </r>
  </si>
  <si>
    <t xml:space="preserve">            INSERT INTO telemetry (unit_id, dev_time, coords, speed, fuel, ignition)</t>
  </si>
  <si>
    <t xml:space="preserve">            VALUES ($1, NOW(), ST_SetSRID(ST_MakePoint($2, $3), 4326), $4, $5, $6)</t>
  </si>
  <si>
    <r>
      <t xml:space="preserve">        """</t>
    </r>
    <r>
      <rPr>
        <sz val="10"/>
        <color rgb="FF0A0A0A"/>
        <rFont val="Arial Unicode MS"/>
      </rPr>
      <t>, unit[</t>
    </r>
    <r>
      <rPr>
        <sz val="10"/>
        <color rgb="FF188038"/>
        <rFont val="Arial Unicode MS"/>
      </rPr>
      <t>'id'</t>
    </r>
    <r>
      <rPr>
        <sz val="10"/>
        <color rgb="FF0A0A0A"/>
        <rFont val="Arial Unicode MS"/>
      </rPr>
      <t>], lon, lat, speed, fuel, ign)</t>
    </r>
  </si>
  <si>
    <r>
      <t>async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def</t>
    </r>
    <r>
      <rPr>
        <sz val="10"/>
        <color rgb="FF0A0A0A"/>
        <rFont val="Arial Unicode MS"/>
      </rPr>
      <t xml:space="preserve"> </t>
    </r>
    <r>
      <rPr>
        <sz val="10"/>
        <color rgb="FFB45908"/>
        <rFont val="Arial Unicode MS"/>
      </rPr>
      <t>handle_terminal</t>
    </r>
    <r>
      <rPr>
        <sz val="10"/>
        <color rgb="FF0A0A0A"/>
        <rFont val="Arial Unicode MS"/>
      </rPr>
      <t>(</t>
    </r>
    <r>
      <rPr>
        <sz val="10"/>
        <color rgb="FFB45908"/>
        <rFont val="Arial Unicode MS"/>
      </rPr>
      <t>reader</t>
    </r>
    <r>
      <rPr>
        <sz val="10"/>
        <color rgb="FF0A0A0A"/>
        <rFont val="Arial Unicode MS"/>
      </rPr>
      <t xml:space="preserve">, </t>
    </r>
    <r>
      <rPr>
        <sz val="10"/>
        <color rgb="FFB45908"/>
        <rFont val="Arial Unicode MS"/>
      </rPr>
      <t>writer</t>
    </r>
    <r>
      <rPr>
        <sz val="10"/>
        <color rgb="FF0A0A0A"/>
        <rFont val="Arial Unicode MS"/>
      </rPr>
      <t>):</t>
    </r>
  </si>
  <si>
    <r>
      <t xml:space="preserve">    </t>
    </r>
    <r>
      <rPr>
        <sz val="10"/>
        <color rgb="FFB45908"/>
        <rFont val="Arial Unicode MS"/>
      </rPr>
      <t>imei</t>
    </r>
    <r>
      <rPr>
        <sz val="10"/>
        <color rgb="FF0A0A0A"/>
        <rFont val="Arial Unicode MS"/>
      </rPr>
      <t xml:space="preserve"> = </t>
    </r>
    <r>
      <rPr>
        <sz val="10"/>
        <color rgb="FF9334E6"/>
        <rFont val="Arial Unicode MS"/>
      </rPr>
      <t>None</t>
    </r>
  </si>
  <si>
    <r>
      <t xml:space="preserve">    </t>
    </r>
    <r>
      <rPr>
        <sz val="10"/>
        <color rgb="FF9334E6"/>
        <rFont val="Arial Unicode MS"/>
      </rPr>
      <t>try</t>
    </r>
    <r>
      <rPr>
        <sz val="10"/>
        <color rgb="FF0A0A0A"/>
        <rFont val="Arial Unicode MS"/>
      </rPr>
      <t>:</t>
    </r>
  </si>
  <si>
    <r>
      <t xml:space="preserve">        </t>
    </r>
    <r>
      <rPr>
        <sz val="10"/>
        <color rgb="FF9334E6"/>
        <rFont val="Arial Unicode MS"/>
      </rPr>
      <t>while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True</t>
    </r>
    <r>
      <rPr>
        <sz val="10"/>
        <color rgb="FF0A0A0A"/>
        <rFont val="Arial Unicode MS"/>
      </rPr>
      <t>:</t>
    </r>
  </si>
  <si>
    <r>
      <t xml:space="preserve">            </t>
    </r>
    <r>
      <rPr>
        <sz val="10"/>
        <color rgb="FFB45908"/>
        <rFont val="Arial Unicode MS"/>
      </rPr>
      <t>data</t>
    </r>
    <r>
      <rPr>
        <sz val="10"/>
        <color rgb="FF0A0A0A"/>
        <rFont val="Arial Unicode MS"/>
      </rPr>
      <t xml:space="preserve"> = </t>
    </r>
    <r>
      <rPr>
        <sz val="10"/>
        <color rgb="FF9334E6"/>
        <rFont val="Arial Unicode MS"/>
      </rPr>
      <t>await</t>
    </r>
    <r>
      <rPr>
        <sz val="10"/>
        <color rgb="FF0A0A0A"/>
        <rFont val="Arial Unicode MS"/>
      </rPr>
      <t xml:space="preserve"> reader.read(</t>
    </r>
    <r>
      <rPr>
        <sz val="10"/>
        <color rgb="FFB45908"/>
        <rFont val="Arial Unicode MS"/>
      </rPr>
      <t>1024</t>
    </r>
    <r>
      <rPr>
        <sz val="10"/>
        <color rgb="FF0A0A0A"/>
        <rFont val="Arial Unicode MS"/>
      </rPr>
      <t>)</t>
    </r>
  </si>
  <si>
    <r>
      <t xml:space="preserve">            </t>
    </r>
    <r>
      <rPr>
        <sz val="10"/>
        <color rgb="FF9334E6"/>
        <rFont val="Arial Unicode MS"/>
      </rPr>
      <t>if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not</t>
    </r>
    <r>
      <rPr>
        <sz val="10"/>
        <color rgb="FF0A0A0A"/>
        <rFont val="Arial Unicode MS"/>
      </rPr>
      <t xml:space="preserve"> data: </t>
    </r>
    <r>
      <rPr>
        <sz val="10"/>
        <color rgb="FF9334E6"/>
        <rFont val="Arial Unicode MS"/>
      </rPr>
      <t>break</t>
    </r>
  </si>
  <si>
    <r>
      <t xml:space="preserve">            </t>
    </r>
    <r>
      <rPr>
        <sz val="10"/>
        <color rgb="FFB45908"/>
        <rFont val="Arial Unicode MS"/>
      </rPr>
      <t>msg</t>
    </r>
    <r>
      <rPr>
        <sz val="10"/>
        <color rgb="FF0A0A0A"/>
        <rFont val="Arial Unicode MS"/>
      </rPr>
      <t xml:space="preserve"> = data.decode(</t>
    </r>
    <r>
      <rPr>
        <sz val="10"/>
        <color rgb="FF188038"/>
        <rFont val="Arial Unicode MS"/>
      </rPr>
      <t>'utf-8'</t>
    </r>
    <r>
      <rPr>
        <sz val="10"/>
        <color rgb="FF0A0A0A"/>
        <rFont val="Arial Unicode MS"/>
      </rPr>
      <t>, errors=</t>
    </r>
    <r>
      <rPr>
        <sz val="10"/>
        <color rgb="FF188038"/>
        <rFont val="Arial Unicode MS"/>
      </rPr>
      <t>'ignore'</t>
    </r>
    <r>
      <rPr>
        <sz val="10"/>
        <color rgb="FF0A0A0A"/>
        <rFont val="Arial Unicode MS"/>
      </rPr>
      <t>).strip()</t>
    </r>
  </si>
  <si>
    <t xml:space="preserve">            </t>
  </si>
  <si>
    <r>
      <t xml:space="preserve">            </t>
    </r>
    <r>
      <rPr>
        <i/>
        <sz val="10"/>
        <color rgb="FF80868B"/>
        <rFont val="Arial Unicode MS"/>
      </rPr>
      <t># Парсинг Wialon IPS (Логин)</t>
    </r>
  </si>
  <si>
    <r>
      <t xml:space="preserve">            </t>
    </r>
    <r>
      <rPr>
        <sz val="10"/>
        <color rgb="FF9334E6"/>
        <rFont val="Arial Unicode MS"/>
      </rPr>
      <t>if</t>
    </r>
    <r>
      <rPr>
        <sz val="10"/>
        <color rgb="FF0A0A0A"/>
        <rFont val="Arial Unicode MS"/>
      </rPr>
      <t xml:space="preserve"> msg.startswith(</t>
    </r>
    <r>
      <rPr>
        <sz val="10"/>
        <color rgb="FF188038"/>
        <rFont val="Arial Unicode MS"/>
      </rPr>
      <t>'#L#'</t>
    </r>
    <r>
      <rPr>
        <sz val="10"/>
        <color rgb="FF0A0A0A"/>
        <rFont val="Arial Unicode MS"/>
      </rPr>
      <t>):</t>
    </r>
  </si>
  <si>
    <r>
      <t xml:space="preserve">                </t>
    </r>
    <r>
      <rPr>
        <sz val="10"/>
        <color rgb="FFB45908"/>
        <rFont val="Arial Unicode MS"/>
      </rPr>
      <t>imei</t>
    </r>
    <r>
      <rPr>
        <sz val="10"/>
        <color rgb="FF0A0A0A"/>
        <rFont val="Arial Unicode MS"/>
      </rPr>
      <t xml:space="preserve"> = msg.split(</t>
    </r>
    <r>
      <rPr>
        <sz val="10"/>
        <color rgb="FF188038"/>
        <rFont val="Arial Unicode MS"/>
      </rPr>
      <t>';'</t>
    </r>
    <r>
      <rPr>
        <sz val="10"/>
        <color rgb="FF0A0A0A"/>
        <rFont val="Arial Unicode MS"/>
      </rPr>
      <t>)[</t>
    </r>
    <r>
      <rPr>
        <sz val="10"/>
        <color rgb="FFB45908"/>
        <rFont val="Arial Unicode MS"/>
      </rPr>
      <t>0</t>
    </r>
    <r>
      <rPr>
        <sz val="10"/>
        <color rgb="FF0A0A0A"/>
        <rFont val="Arial Unicode MS"/>
      </rPr>
      <t>].replace(</t>
    </r>
    <r>
      <rPr>
        <sz val="10"/>
        <color rgb="FF188038"/>
        <rFont val="Arial Unicode MS"/>
      </rPr>
      <t>'#L#'</t>
    </r>
    <r>
      <rPr>
        <sz val="10"/>
        <color rgb="FF0A0A0A"/>
        <rFont val="Arial Unicode MS"/>
      </rPr>
      <t xml:space="preserve">, </t>
    </r>
    <r>
      <rPr>
        <sz val="10"/>
        <color rgb="FF188038"/>
        <rFont val="Arial Unicode MS"/>
      </rPr>
      <t>''</t>
    </r>
    <r>
      <rPr>
        <sz val="10"/>
        <color rgb="FF0A0A0A"/>
        <rFont val="Arial Unicode MS"/>
      </rPr>
      <t>)</t>
    </r>
  </si>
  <si>
    <r>
      <t xml:space="preserve">                writer.write(</t>
    </r>
    <r>
      <rPr>
        <sz val="10"/>
        <color rgb="FF188038"/>
        <rFont val="Arial Unicode MS"/>
      </rPr>
      <t>b"#AL#1\r\n"</t>
    </r>
    <r>
      <rPr>
        <sz val="10"/>
        <color rgb="FF0A0A0A"/>
        <rFont val="Arial Unicode MS"/>
      </rPr>
      <t>)</t>
    </r>
  </si>
  <si>
    <r>
      <t xml:space="preserve">            </t>
    </r>
    <r>
      <rPr>
        <i/>
        <sz val="10"/>
        <color rgb="FF80868B"/>
        <rFont val="Arial Unicode MS"/>
      </rPr>
      <t># Парсинг данных #D#lat;lon;speed;fuel;ign</t>
    </r>
  </si>
  <si>
    <r>
      <t xml:space="preserve">            </t>
    </r>
    <r>
      <rPr>
        <sz val="10"/>
        <color rgb="FF9334E6"/>
        <rFont val="Arial Unicode MS"/>
      </rPr>
      <t>elif</t>
    </r>
    <r>
      <rPr>
        <sz val="10"/>
        <color rgb="FF0A0A0A"/>
        <rFont val="Arial Unicode MS"/>
      </rPr>
      <t xml:space="preserve"> msg.startswith(</t>
    </r>
    <r>
      <rPr>
        <sz val="10"/>
        <color rgb="FF188038"/>
        <rFont val="Arial Unicode MS"/>
      </rPr>
      <t>'#D#'</t>
    </r>
    <r>
      <rPr>
        <sz val="10"/>
        <color rgb="FF0A0A0A"/>
        <rFont val="Arial Unicode MS"/>
      </rPr>
      <t xml:space="preserve">) </t>
    </r>
    <r>
      <rPr>
        <sz val="10"/>
        <color rgb="FF9334E6"/>
        <rFont val="Arial Unicode MS"/>
      </rPr>
      <t>and</t>
    </r>
    <r>
      <rPr>
        <sz val="10"/>
        <color rgb="FF0A0A0A"/>
        <rFont val="Arial Unicode MS"/>
      </rPr>
      <t xml:space="preserve"> imei:</t>
    </r>
  </si>
  <si>
    <r>
      <t xml:space="preserve">                </t>
    </r>
    <r>
      <rPr>
        <sz val="10"/>
        <color rgb="FFB45908"/>
        <rFont val="Arial Unicode MS"/>
      </rPr>
      <t>p</t>
    </r>
    <r>
      <rPr>
        <sz val="10"/>
        <color rgb="FF0A0A0A"/>
        <rFont val="Arial Unicode MS"/>
      </rPr>
      <t xml:space="preserve"> = msg.replace(</t>
    </r>
    <r>
      <rPr>
        <sz val="10"/>
        <color rgb="FF188038"/>
        <rFont val="Arial Unicode MS"/>
      </rPr>
      <t>'#D#'</t>
    </r>
    <r>
      <rPr>
        <sz val="10"/>
        <color rgb="FF0A0A0A"/>
        <rFont val="Arial Unicode MS"/>
      </rPr>
      <t xml:space="preserve">, </t>
    </r>
    <r>
      <rPr>
        <sz val="10"/>
        <color rgb="FF188038"/>
        <rFont val="Arial Unicode MS"/>
      </rPr>
      <t>''</t>
    </r>
    <r>
      <rPr>
        <sz val="10"/>
        <color rgb="FF0A0A0A"/>
        <rFont val="Arial Unicode MS"/>
      </rPr>
      <t>).split(</t>
    </r>
    <r>
      <rPr>
        <sz val="10"/>
        <color rgb="FF188038"/>
        <rFont val="Arial Unicode MS"/>
      </rPr>
      <t>';'</t>
    </r>
    <r>
      <rPr>
        <sz val="10"/>
        <color rgb="FF0A0A0A"/>
        <rFont val="Arial Unicode MS"/>
      </rPr>
      <t>)</t>
    </r>
  </si>
  <si>
    <r>
      <t xml:space="preserve">                </t>
    </r>
    <r>
      <rPr>
        <sz val="10"/>
        <color rgb="FF9334E6"/>
        <rFont val="Arial Unicode MS"/>
      </rPr>
      <t>await</t>
    </r>
    <r>
      <rPr>
        <sz val="10"/>
        <color rgb="FF0A0A0A"/>
        <rFont val="Arial Unicode MS"/>
      </rPr>
      <t xml:space="preserve"> save_to_db(imei, float(p[</t>
    </r>
    <r>
      <rPr>
        <sz val="10"/>
        <color rgb="FFB45908"/>
        <rFont val="Arial Unicode MS"/>
      </rPr>
      <t>0</t>
    </r>
    <r>
      <rPr>
        <sz val="10"/>
        <color rgb="FF0A0A0A"/>
        <rFont val="Arial Unicode MS"/>
      </rPr>
      <t>]), float(p[</t>
    </r>
    <r>
      <rPr>
        <sz val="10"/>
        <color rgb="FFB45908"/>
        <rFont val="Arial Unicode MS"/>
      </rPr>
      <t>1</t>
    </r>
    <r>
      <rPr>
        <sz val="10"/>
        <color rgb="FF0A0A0A"/>
        <rFont val="Arial Unicode MS"/>
      </rPr>
      <t>]), float(p[</t>
    </r>
    <r>
      <rPr>
        <sz val="10"/>
        <color rgb="FFB45908"/>
        <rFont val="Arial Unicode MS"/>
      </rPr>
      <t>2</t>
    </r>
    <r>
      <rPr>
        <sz val="10"/>
        <color rgb="FF0A0A0A"/>
        <rFont val="Arial Unicode MS"/>
      </rPr>
      <t>]), float(p[</t>
    </r>
    <r>
      <rPr>
        <sz val="10"/>
        <color rgb="FFB45908"/>
        <rFont val="Arial Unicode MS"/>
      </rPr>
      <t>3</t>
    </r>
    <r>
      <rPr>
        <sz val="10"/>
        <color rgb="FF0A0A0A"/>
        <rFont val="Arial Unicode MS"/>
      </rPr>
      <t>]), int(p[</t>
    </r>
    <r>
      <rPr>
        <sz val="10"/>
        <color rgb="FFB45908"/>
        <rFont val="Arial Unicode MS"/>
      </rPr>
      <t>4</t>
    </r>
    <r>
      <rPr>
        <sz val="10"/>
        <color rgb="FF0A0A0A"/>
        <rFont val="Arial Unicode MS"/>
      </rPr>
      <t>]))</t>
    </r>
  </si>
  <si>
    <r>
      <t xml:space="preserve">                writer.write(</t>
    </r>
    <r>
      <rPr>
        <sz val="10"/>
        <color rgb="FF188038"/>
        <rFont val="Arial Unicode MS"/>
      </rPr>
      <t>b"#AD#1\r\n"</t>
    </r>
    <r>
      <rPr>
        <sz val="10"/>
        <color rgb="FF0A0A0A"/>
        <rFont val="Arial Unicode MS"/>
      </rPr>
      <t>)</t>
    </r>
  </si>
  <si>
    <r>
      <t xml:space="preserve">            </t>
    </r>
    <r>
      <rPr>
        <sz val="10"/>
        <color rgb="FF9334E6"/>
        <rFont val="Arial Unicode MS"/>
      </rPr>
      <t>await</t>
    </r>
    <r>
      <rPr>
        <sz val="10"/>
        <color rgb="FF0A0A0A"/>
        <rFont val="Arial Unicode MS"/>
      </rPr>
      <t xml:space="preserve"> writer.drain()</t>
    </r>
  </si>
  <si>
    <r>
      <t xml:space="preserve">    </t>
    </r>
    <r>
      <rPr>
        <sz val="10"/>
        <color rgb="FF9334E6"/>
        <rFont val="Arial Unicode MS"/>
      </rPr>
      <t>finally</t>
    </r>
    <r>
      <rPr>
        <sz val="10"/>
        <color rgb="FF0A0A0A"/>
        <rFont val="Arial Unicode MS"/>
      </rPr>
      <t>:</t>
    </r>
  </si>
  <si>
    <t xml:space="preserve">        writer.close()</t>
  </si>
  <si>
    <t># --- API ДЛЯ КАРТЫ ---</t>
  </si>
  <si>
    <r>
      <t>@app.get(</t>
    </r>
    <r>
      <rPr>
        <sz val="10"/>
        <color rgb="FF188038"/>
        <rFont val="Arial Unicode MS"/>
      </rPr>
      <t>"/history/{imei}"</t>
    </r>
    <r>
      <rPr>
        <sz val="10"/>
        <color rgb="FF0A0A0A"/>
        <rFont val="Arial Unicode MS"/>
      </rPr>
      <t>)</t>
    </r>
  </si>
  <si>
    <r>
      <t>async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def</t>
    </r>
    <r>
      <rPr>
        <sz val="10"/>
        <color rgb="FF0A0A0A"/>
        <rFont val="Arial Unicode MS"/>
      </rPr>
      <t xml:space="preserve"> </t>
    </r>
    <r>
      <rPr>
        <sz val="10"/>
        <color rgb="FFB45908"/>
        <rFont val="Arial Unicode MS"/>
      </rPr>
      <t>get_history</t>
    </r>
    <r>
      <rPr>
        <sz val="10"/>
        <color rgb="FF0A0A0A"/>
        <rFont val="Arial Unicode MS"/>
      </rPr>
      <t>(</t>
    </r>
    <r>
      <rPr>
        <sz val="10"/>
        <color rgb="FFB45908"/>
        <rFont val="Arial Unicode MS"/>
      </rPr>
      <t>imei</t>
    </r>
    <r>
      <rPr>
        <sz val="10"/>
        <color rgb="FF0A0A0A"/>
        <rFont val="Arial Unicode MS"/>
      </rPr>
      <t>: str):</t>
    </r>
  </si>
  <si>
    <r>
      <t xml:space="preserve">        </t>
    </r>
    <r>
      <rPr>
        <sz val="10"/>
        <color rgb="FFB45908"/>
        <rFont val="Arial Unicode MS"/>
      </rPr>
      <t>rows</t>
    </r>
    <r>
      <rPr>
        <sz val="10"/>
        <color rgb="FF0A0A0A"/>
        <rFont val="Arial Unicode MS"/>
      </rPr>
      <t xml:space="preserve"> = </t>
    </r>
    <r>
      <rPr>
        <sz val="10"/>
        <color rgb="FF9334E6"/>
        <rFont val="Arial Unicode MS"/>
      </rPr>
      <t>await</t>
    </r>
    <r>
      <rPr>
        <sz val="10"/>
        <color rgb="FF0A0A0A"/>
        <rFont val="Arial Unicode MS"/>
      </rPr>
      <t xml:space="preserve"> conn.fetch(</t>
    </r>
    <r>
      <rPr>
        <sz val="10"/>
        <color rgb="FF188038"/>
        <rFont val="Arial Unicode MS"/>
      </rPr>
      <t>"""</t>
    </r>
  </si>
  <si>
    <t xml:space="preserve">            SELECT ST_Y(coords::geometry) as lat, ST_X(coords::geometry) as lon, </t>
  </si>
  <si>
    <t xml:space="preserve">            speed, fuel, ignition, dev_time </t>
  </si>
  <si>
    <t xml:space="preserve">            FROM telemetry t JOIN units u ON t.unit_id = u.id </t>
  </si>
  <si>
    <t xml:space="preserve">            WHERE u.imei = $1 ORDER BY dev_time ASC LIMIT 500</t>
  </si>
  <si>
    <r>
      <t xml:space="preserve">        """</t>
    </r>
    <r>
      <rPr>
        <sz val="10"/>
        <color rgb="FF0A0A0A"/>
        <rFont val="Arial Unicode MS"/>
      </rPr>
      <t>, imei)</t>
    </r>
  </si>
  <si>
    <r>
      <t xml:space="preserve">        </t>
    </r>
    <r>
      <rPr>
        <sz val="10"/>
        <color rgb="FF9334E6"/>
        <rFont val="Arial Unicode MS"/>
      </rPr>
      <t>return</t>
    </r>
    <r>
      <rPr>
        <sz val="10"/>
        <color rgb="FF0A0A0A"/>
        <rFont val="Arial Unicode MS"/>
      </rPr>
      <t xml:space="preserve"> [dict(r) </t>
    </r>
    <r>
      <rPr>
        <sz val="10"/>
        <color rgb="FF9334E6"/>
        <rFont val="Arial Unicode MS"/>
      </rPr>
      <t>for</t>
    </r>
    <r>
      <rPr>
        <sz val="10"/>
        <color rgb="FF0A0A0A"/>
        <rFont val="Arial Unicode MS"/>
      </rPr>
      <t xml:space="preserve"> </t>
    </r>
    <r>
      <rPr>
        <sz val="10"/>
        <color rgb="FFB45908"/>
        <rFont val="Arial Unicode MS"/>
      </rPr>
      <t>r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in</t>
    </r>
    <r>
      <rPr>
        <sz val="10"/>
        <color rgb="FF0A0A0A"/>
        <rFont val="Arial Unicode MS"/>
      </rPr>
      <t xml:space="preserve"> rows]</t>
    </r>
  </si>
  <si>
    <r>
      <t>@app.on_event(</t>
    </r>
    <r>
      <rPr>
        <sz val="10"/>
        <color rgb="FF188038"/>
        <rFont val="Arial Unicode MS"/>
      </rPr>
      <t>"startup"</t>
    </r>
    <r>
      <rPr>
        <sz val="10"/>
        <color rgb="FF0A0A0A"/>
        <rFont val="Arial Unicode MS"/>
      </rPr>
      <t>)</t>
    </r>
  </si>
  <si>
    <r>
      <t>async</t>
    </r>
    <r>
      <rPr>
        <sz val="10"/>
        <color rgb="FF0A0A0A"/>
        <rFont val="Arial Unicode MS"/>
      </rPr>
      <t xml:space="preserve"> </t>
    </r>
    <r>
      <rPr>
        <sz val="10"/>
        <color rgb="FF9334E6"/>
        <rFont val="Arial Unicode MS"/>
      </rPr>
      <t>def</t>
    </r>
    <r>
      <rPr>
        <sz val="10"/>
        <color rgb="FF0A0A0A"/>
        <rFont val="Arial Unicode MS"/>
      </rPr>
      <t xml:space="preserve"> </t>
    </r>
    <r>
      <rPr>
        <sz val="10"/>
        <color rgb="FFB45908"/>
        <rFont val="Arial Unicode MS"/>
      </rPr>
      <t>startup</t>
    </r>
    <r>
      <rPr>
        <sz val="10"/>
        <color rgb="FF0A0A0A"/>
        <rFont val="Arial Unicode MS"/>
      </rPr>
      <t>():</t>
    </r>
  </si>
  <si>
    <r>
      <t xml:space="preserve">    </t>
    </r>
    <r>
      <rPr>
        <sz val="10"/>
        <color rgb="FF9334E6"/>
        <rFont val="Arial Unicode MS"/>
      </rPr>
      <t>global</t>
    </r>
    <r>
      <rPr>
        <sz val="10"/>
        <color rgb="FF0A0A0A"/>
        <rFont val="Arial Unicode MS"/>
      </rPr>
      <t xml:space="preserve"> db_pool</t>
    </r>
  </si>
  <si>
    <r>
      <t xml:space="preserve">    </t>
    </r>
    <r>
      <rPr>
        <sz val="10"/>
        <color rgb="FFB45908"/>
        <rFont val="Arial Unicode MS"/>
      </rPr>
      <t>db_pool</t>
    </r>
    <r>
      <rPr>
        <sz val="10"/>
        <color rgb="FF0A0A0A"/>
        <rFont val="Arial Unicode MS"/>
      </rPr>
      <t xml:space="preserve"> = </t>
    </r>
    <r>
      <rPr>
        <sz val="10"/>
        <color rgb="FF9334E6"/>
        <rFont val="Arial Unicode MS"/>
      </rPr>
      <t>await</t>
    </r>
    <r>
      <rPr>
        <sz val="10"/>
        <color rgb="FF0A0A0A"/>
        <rFont val="Arial Unicode MS"/>
      </rPr>
      <t xml:space="preserve"> asyncpg.create_pool(**DB_CONFIG)</t>
    </r>
  </si>
  <si>
    <r>
      <t xml:space="preserve">    </t>
    </r>
    <r>
      <rPr>
        <sz val="10"/>
        <color rgb="FFB45908"/>
        <rFont val="Arial Unicode MS"/>
      </rPr>
      <t>loop</t>
    </r>
    <r>
      <rPr>
        <sz val="10"/>
        <color rgb="FF0A0A0A"/>
        <rFont val="Arial Unicode MS"/>
      </rPr>
      <t xml:space="preserve"> = asyncio.get_event_loop()</t>
    </r>
  </si>
  <si>
    <r>
      <t xml:space="preserve">    loop.create_task(asyncio.start_server(handle_terminal, </t>
    </r>
    <r>
      <rPr>
        <sz val="10"/>
        <color rgb="FF188038"/>
        <rFont val="Arial Unicode MS"/>
      </rPr>
      <t>'0.0.0.0'</t>
    </r>
    <r>
      <rPr>
        <sz val="10"/>
        <color rgb="FF0A0A0A"/>
        <rFont val="Arial Unicode MS"/>
      </rPr>
      <t>, TCP_PORT))</t>
    </r>
  </si>
  <si>
    <t>3. Интерфейс (HTML + JS + Leaflet)</t>
  </si>
  <si>
    <r>
      <t>Создай </t>
    </r>
    <r>
      <rPr>
        <sz val="11"/>
        <color rgb="FF0A0A0A"/>
        <rFont val="Arial Unicode MS"/>
      </rPr>
      <t>index.html</t>
    </r>
    <r>
      <rPr>
        <sz val="12"/>
        <color rgb="FF0A0A0A"/>
        <rFont val="Arial"/>
        <family val="2"/>
        <charset val="204"/>
      </rPr>
      <t> для отображения трека и данных датчиков:</t>
    </r>
  </si>
  <si>
    <t>html</t>
  </si>
  <si>
    <t>&lt;!DOCTYPE html&gt;</t>
  </si>
  <si>
    <r>
      <t>&lt;</t>
    </r>
    <r>
      <rPr>
        <sz val="10"/>
        <color rgb="FF9334E6"/>
        <rFont val="Arial Unicode MS"/>
      </rPr>
      <t>html</t>
    </r>
    <r>
      <rPr>
        <sz val="10"/>
        <color rgb="FF0A0A0A"/>
        <rFont val="Arial Unicode MS"/>
      </rPr>
      <t>&gt;</t>
    </r>
  </si>
  <si>
    <r>
      <t>&lt;</t>
    </r>
    <r>
      <rPr>
        <sz val="10"/>
        <color rgb="FF9334E6"/>
        <rFont val="Arial Unicode MS"/>
      </rPr>
      <t>head</t>
    </r>
    <r>
      <rPr>
        <sz val="10"/>
        <color rgb="FF0A0A0A"/>
        <rFont val="Arial Unicode MS"/>
      </rPr>
      <t>&gt;</t>
    </r>
  </si>
  <si>
    <r>
      <t xml:space="preserve">    &lt;</t>
    </r>
    <r>
      <rPr>
        <sz val="10"/>
        <color rgb="FF9334E6"/>
        <rFont val="Arial Unicode MS"/>
      </rPr>
      <t>title</t>
    </r>
    <r>
      <rPr>
        <sz val="10"/>
        <color rgb="FF0A0A0A"/>
        <rFont val="Arial Unicode MS"/>
      </rPr>
      <t>&gt;GPS Трекер&lt;/</t>
    </r>
    <r>
      <rPr>
        <sz val="10"/>
        <color rgb="FF9334E6"/>
        <rFont val="Arial Unicode MS"/>
      </rPr>
      <t>title</t>
    </r>
    <r>
      <rPr>
        <sz val="10"/>
        <color rgb="FF0A0A0A"/>
        <rFont val="Arial Unicode MS"/>
      </rPr>
      <t>&gt;</t>
    </r>
  </si>
  <si>
    <r>
      <t xml:space="preserve">    &lt;</t>
    </r>
    <r>
      <rPr>
        <sz val="10"/>
        <color rgb="FF9334E6"/>
        <rFont val="Arial Unicode MS"/>
      </rPr>
      <t>link</t>
    </r>
    <r>
      <rPr>
        <sz val="10"/>
        <color rgb="FF0A0A0A"/>
        <rFont val="Arial Unicode MS"/>
      </rPr>
      <t xml:space="preserve"> rel=</t>
    </r>
    <r>
      <rPr>
        <sz val="10"/>
        <color rgb="FF188038"/>
        <rFont val="Arial Unicode MS"/>
      </rPr>
      <t>"stylesheet"</t>
    </r>
    <r>
      <rPr>
        <sz val="10"/>
        <color rgb="FF0A0A0A"/>
        <rFont val="Arial Unicode MS"/>
      </rPr>
      <t xml:space="preserve"> href=</t>
    </r>
    <r>
      <rPr>
        <sz val="10"/>
        <color rgb="FF188038"/>
        <rFont val="Arial Unicode MS"/>
      </rPr>
      <t>"https://unpkg.com"</t>
    </r>
    <r>
      <rPr>
        <sz val="10"/>
        <color rgb="FF0A0A0A"/>
        <rFont val="Arial Unicode MS"/>
      </rPr>
      <t xml:space="preserve"> /&gt;</t>
    </r>
  </si>
  <si>
    <r>
      <t xml:space="preserve">    &lt;</t>
    </r>
    <r>
      <rPr>
        <sz val="10"/>
        <color rgb="FF9334E6"/>
        <rFont val="Arial Unicode MS"/>
      </rPr>
      <t>style</t>
    </r>
    <r>
      <rPr>
        <sz val="10"/>
        <color rgb="FF0A0A0A"/>
        <rFont val="Arial Unicode MS"/>
      </rPr>
      <t xml:space="preserve">&gt; #map { height: </t>
    </r>
    <r>
      <rPr>
        <sz val="10"/>
        <color rgb="FFB45908"/>
        <rFont val="Arial Unicode MS"/>
      </rPr>
      <t>500</t>
    </r>
    <r>
      <rPr>
        <sz val="10"/>
        <color rgb="FF0A0A0A"/>
        <rFont val="Arial Unicode MS"/>
      </rPr>
      <t xml:space="preserve">px; width: </t>
    </r>
    <r>
      <rPr>
        <sz val="10"/>
        <color rgb="FFB45908"/>
        <rFont val="Arial Unicode MS"/>
      </rPr>
      <t>100</t>
    </r>
    <r>
      <rPr>
        <sz val="10"/>
        <color rgb="FF0A0A0A"/>
        <rFont val="Arial Unicode MS"/>
      </rPr>
      <t xml:space="preserve">%; } .info { padding: </t>
    </r>
    <r>
      <rPr>
        <sz val="10"/>
        <color rgb="FFB45908"/>
        <rFont val="Arial Unicode MS"/>
      </rPr>
      <t>10</t>
    </r>
    <r>
      <rPr>
        <sz val="10"/>
        <color rgb="FF0A0A0A"/>
        <rFont val="Arial Unicode MS"/>
      </rPr>
      <t>px; background: #eee; } &lt;/</t>
    </r>
    <r>
      <rPr>
        <sz val="10"/>
        <color rgb="FF9334E6"/>
        <rFont val="Arial Unicode MS"/>
      </rPr>
      <t>style</t>
    </r>
    <r>
      <rPr>
        <sz val="10"/>
        <color rgb="FF0A0A0A"/>
        <rFont val="Arial Unicode MS"/>
      </rPr>
      <t>&gt;</t>
    </r>
  </si>
  <si>
    <r>
      <t>&lt;/</t>
    </r>
    <r>
      <rPr>
        <sz val="10"/>
        <color rgb="FF9334E6"/>
        <rFont val="Arial Unicode MS"/>
      </rPr>
      <t>head</t>
    </r>
    <r>
      <rPr>
        <sz val="10"/>
        <color rgb="FF0A0A0A"/>
        <rFont val="Arial Unicode MS"/>
      </rPr>
      <t>&gt;</t>
    </r>
  </si>
  <si>
    <r>
      <t>&lt;</t>
    </r>
    <r>
      <rPr>
        <sz val="10"/>
        <color rgb="FF9334E6"/>
        <rFont val="Arial Unicode MS"/>
      </rPr>
      <t>body</t>
    </r>
    <r>
      <rPr>
        <sz val="10"/>
        <color rgb="FF0A0A0A"/>
        <rFont val="Arial Unicode MS"/>
      </rPr>
      <t>&gt;</t>
    </r>
  </si>
  <si>
    <r>
      <t xml:space="preserve">    &lt;</t>
    </r>
    <r>
      <rPr>
        <sz val="10"/>
        <color rgb="FF9334E6"/>
        <rFont val="Arial Unicode MS"/>
      </rPr>
      <t>div</t>
    </r>
    <r>
      <rPr>
        <sz val="10"/>
        <color rgb="FF0A0A0A"/>
        <rFont val="Arial Unicode MS"/>
      </rPr>
      <t xml:space="preserve"> id=</t>
    </r>
    <r>
      <rPr>
        <sz val="10"/>
        <color rgb="FF188038"/>
        <rFont val="Arial Unicode MS"/>
      </rPr>
      <t>"map"</t>
    </r>
    <r>
      <rPr>
        <sz val="10"/>
        <color rgb="FF0A0A0A"/>
        <rFont val="Arial Unicode MS"/>
      </rPr>
      <t>&gt;&lt;/</t>
    </r>
    <r>
      <rPr>
        <sz val="10"/>
        <color rgb="FF9334E6"/>
        <rFont val="Arial Unicode MS"/>
      </rPr>
      <t>div</t>
    </r>
    <r>
      <rPr>
        <sz val="10"/>
        <color rgb="FF0A0A0A"/>
        <rFont val="Arial Unicode MS"/>
      </rPr>
      <t>&gt;</t>
    </r>
  </si>
  <si>
    <r>
      <t xml:space="preserve">    &lt;</t>
    </r>
    <r>
      <rPr>
        <sz val="10"/>
        <color rgb="FF9334E6"/>
        <rFont val="Arial Unicode MS"/>
      </rPr>
      <t>div</t>
    </r>
    <r>
      <rPr>
        <sz val="10"/>
        <color rgb="FF0A0A0A"/>
        <rFont val="Arial Unicode MS"/>
      </rPr>
      <t xml:space="preserve"> class=</t>
    </r>
    <r>
      <rPr>
        <sz val="10"/>
        <color rgb="FF188038"/>
        <rFont val="Arial Unicode MS"/>
      </rPr>
      <t>"info"</t>
    </r>
    <r>
      <rPr>
        <sz val="10"/>
        <color rgb="FF0A0A0A"/>
        <rFont val="Arial Unicode MS"/>
      </rPr>
      <t xml:space="preserve"> id=</t>
    </r>
    <r>
      <rPr>
        <sz val="10"/>
        <color rgb="FF188038"/>
        <rFont val="Arial Unicode MS"/>
      </rPr>
      <t>"stats"</t>
    </r>
    <r>
      <rPr>
        <sz val="10"/>
        <color rgb="FF0A0A0A"/>
        <rFont val="Arial Unicode MS"/>
      </rPr>
      <t>&gt;Выберите устройство для просмотра трека&lt;/</t>
    </r>
    <r>
      <rPr>
        <sz val="10"/>
        <color rgb="FF9334E6"/>
        <rFont val="Arial Unicode MS"/>
      </rPr>
      <t>div</t>
    </r>
    <r>
      <rPr>
        <sz val="10"/>
        <color rgb="FF0A0A0A"/>
        <rFont val="Arial Unicode MS"/>
      </rPr>
      <t>&gt;</t>
    </r>
  </si>
  <si>
    <r>
      <t xml:space="preserve">    &lt;</t>
    </r>
    <r>
      <rPr>
        <sz val="10"/>
        <color rgb="FF9334E6"/>
        <rFont val="Arial Unicode MS"/>
      </rPr>
      <t>script</t>
    </r>
    <r>
      <rPr>
        <sz val="10"/>
        <color rgb="FF0A0A0A"/>
        <rFont val="Arial Unicode MS"/>
      </rPr>
      <t xml:space="preserve"> src=</t>
    </r>
    <r>
      <rPr>
        <sz val="10"/>
        <color rgb="FF188038"/>
        <rFont val="Arial Unicode MS"/>
      </rPr>
      <t>"https://unpkg.com"</t>
    </r>
    <r>
      <rPr>
        <sz val="10"/>
        <color rgb="FF0A0A0A"/>
        <rFont val="Arial Unicode MS"/>
      </rPr>
      <t>&gt;&lt;/</t>
    </r>
    <r>
      <rPr>
        <sz val="10"/>
        <color rgb="FF9334E6"/>
        <rFont val="Arial Unicode MS"/>
      </rPr>
      <t>script</t>
    </r>
    <r>
      <rPr>
        <sz val="10"/>
        <color rgb="FF0A0A0A"/>
        <rFont val="Arial Unicode MS"/>
      </rPr>
      <t>&gt;</t>
    </r>
  </si>
  <si>
    <r>
      <t xml:space="preserve">    &lt;</t>
    </r>
    <r>
      <rPr>
        <sz val="10"/>
        <color rgb="FF9334E6"/>
        <rFont val="Arial Unicode MS"/>
      </rPr>
      <t>script</t>
    </r>
    <r>
      <rPr>
        <sz val="10"/>
        <color rgb="FF0A0A0A"/>
        <rFont val="Arial Unicode MS"/>
      </rPr>
      <t>&gt;</t>
    </r>
  </si>
  <si>
    <r>
      <t xml:space="preserve">        const map = L.map(</t>
    </r>
    <r>
      <rPr>
        <sz val="10"/>
        <color rgb="FF188038"/>
        <rFont val="Arial Unicode MS"/>
      </rPr>
      <t>'map'</t>
    </r>
    <r>
      <rPr>
        <sz val="10"/>
        <color rgb="FF0A0A0A"/>
        <rFont val="Arial Unicode MS"/>
      </rPr>
      <t>).setView([</t>
    </r>
    <r>
      <rPr>
        <sz val="10"/>
        <color rgb="FFB45908"/>
        <rFont val="Arial Unicode MS"/>
      </rPr>
      <t>55.75</t>
    </r>
    <r>
      <rPr>
        <sz val="10"/>
        <color rgb="FF0A0A0A"/>
        <rFont val="Arial Unicode MS"/>
      </rPr>
      <t xml:space="preserve">, </t>
    </r>
    <r>
      <rPr>
        <sz val="10"/>
        <color rgb="FFB45908"/>
        <rFont val="Arial Unicode MS"/>
      </rPr>
      <t>37.61</t>
    </r>
    <r>
      <rPr>
        <sz val="10"/>
        <color rgb="FF0A0A0A"/>
        <rFont val="Arial Unicode MS"/>
      </rPr>
      <t xml:space="preserve">], </t>
    </r>
    <r>
      <rPr>
        <sz val="10"/>
        <color rgb="FFB45908"/>
        <rFont val="Arial Unicode MS"/>
      </rPr>
      <t>10</t>
    </r>
    <r>
      <rPr>
        <sz val="10"/>
        <color rgb="FF0A0A0A"/>
        <rFont val="Arial Unicode MS"/>
      </rPr>
      <t>);</t>
    </r>
  </si>
  <si>
    <r>
      <t xml:space="preserve">        L.tileLayer(</t>
    </r>
    <r>
      <rPr>
        <sz val="10"/>
        <color rgb="FF188038"/>
        <rFont val="Arial Unicode MS"/>
      </rPr>
      <t>'https://{s}.tile.openstreetmap.org/{z}/{x}/{y}.png'</t>
    </r>
    <r>
      <rPr>
        <sz val="10"/>
        <color rgb="FF0A0A0A"/>
        <rFont val="Arial Unicode MS"/>
      </rPr>
      <t>).addTo(map);</t>
    </r>
  </si>
  <si>
    <r>
      <t xml:space="preserve">        let trackLine = L.polyline([], {color: </t>
    </r>
    <r>
      <rPr>
        <sz val="10"/>
        <color rgb="FF188038"/>
        <rFont val="Arial Unicode MS"/>
      </rPr>
      <t>'red'</t>
    </r>
    <r>
      <rPr>
        <sz val="10"/>
        <color rgb="FF0A0A0A"/>
        <rFont val="Arial Unicode MS"/>
      </rPr>
      <t xml:space="preserve">, weight: </t>
    </r>
    <r>
      <rPr>
        <sz val="10"/>
        <color rgb="FFB45908"/>
        <rFont val="Arial Unicode MS"/>
      </rPr>
      <t>4</t>
    </r>
    <r>
      <rPr>
        <sz val="10"/>
        <color rgb="FF0A0A0A"/>
        <rFont val="Arial Unicode MS"/>
      </rPr>
      <t>}).addTo(map);</t>
    </r>
  </si>
  <si>
    <t xml:space="preserve">        async function loadTrack(imei) {</t>
  </si>
  <si>
    <r>
      <t xml:space="preserve">            const res = await fetch(`http://localhost:</t>
    </r>
    <r>
      <rPr>
        <sz val="10"/>
        <color rgb="FFB45908"/>
        <rFont val="Arial Unicode MS"/>
      </rPr>
      <t>8000</t>
    </r>
    <r>
      <rPr>
        <sz val="10"/>
        <color rgb="FF0A0A0A"/>
        <rFont val="Arial Unicode MS"/>
      </rPr>
      <t>/history/${imei}`);</t>
    </r>
  </si>
  <si>
    <t xml:space="preserve">            const data = await res.json();</t>
  </si>
  <si>
    <r>
      <t xml:space="preserve">            if (data.length === </t>
    </r>
    <r>
      <rPr>
        <sz val="10"/>
        <color rgb="FFB45908"/>
        <rFont val="Arial Unicode MS"/>
      </rPr>
      <t>0</t>
    </r>
    <r>
      <rPr>
        <sz val="10"/>
        <color rgb="FF0A0A0A"/>
        <rFont val="Arial Unicode MS"/>
      </rPr>
      <t>) return;</t>
    </r>
  </si>
  <si>
    <t xml:space="preserve">            const path = data.map(p =&gt; [p.lat, p.lon]);</t>
  </si>
  <si>
    <t xml:space="preserve">            trackLine.setLatLngs(path);</t>
  </si>
  <si>
    <t xml:space="preserve">            map.fitBounds(trackLine.getBounds());</t>
  </si>
  <si>
    <r>
      <t xml:space="preserve">            const last = data[data.length - </t>
    </r>
    <r>
      <rPr>
        <sz val="10"/>
        <color rgb="FFB45908"/>
        <rFont val="Arial Unicode MS"/>
      </rPr>
      <t>1</t>
    </r>
    <r>
      <rPr>
        <sz val="10"/>
        <color rgb="FF0A0A0A"/>
        <rFont val="Arial Unicode MS"/>
      </rPr>
      <t>];</t>
    </r>
  </si>
  <si>
    <r>
      <t xml:space="preserve">            document.getElementById(</t>
    </r>
    <r>
      <rPr>
        <sz val="10"/>
        <color rgb="FF188038"/>
        <rFont val="Arial Unicode MS"/>
      </rPr>
      <t>'stats'</t>
    </r>
    <r>
      <rPr>
        <sz val="10"/>
        <color rgb="FF0A0A0A"/>
        <rFont val="Arial Unicode MS"/>
      </rPr>
      <t>).innerHTML = `</t>
    </r>
  </si>
  <si>
    <r>
      <t xml:space="preserve">                &lt;</t>
    </r>
    <r>
      <rPr>
        <sz val="10"/>
        <color rgb="FF9334E6"/>
        <rFont val="Arial Unicode MS"/>
      </rPr>
      <t>b</t>
    </r>
    <r>
      <rPr>
        <sz val="10"/>
        <color rgb="FF0A0A0A"/>
        <rFont val="Arial Unicode MS"/>
      </rPr>
      <t>&gt;IMEI:&lt;/</t>
    </r>
    <r>
      <rPr>
        <sz val="10"/>
        <color rgb="FF9334E6"/>
        <rFont val="Arial Unicode MS"/>
      </rPr>
      <t>b</t>
    </r>
    <r>
      <rPr>
        <sz val="10"/>
        <color rgb="FF0A0A0A"/>
        <rFont val="Arial Unicode MS"/>
      </rPr>
      <t xml:space="preserve">&gt; ${imei} | </t>
    </r>
  </si>
  <si>
    <r>
      <t xml:space="preserve">                &lt;</t>
    </r>
    <r>
      <rPr>
        <sz val="10"/>
        <color rgb="FF9334E6"/>
        <rFont val="Arial Unicode MS"/>
      </rPr>
      <t>b</t>
    </r>
    <r>
      <rPr>
        <sz val="10"/>
        <color rgb="FF0A0A0A"/>
        <rFont val="Arial Unicode MS"/>
      </rPr>
      <t>&gt;Топливо:&lt;/</t>
    </r>
    <r>
      <rPr>
        <sz val="10"/>
        <color rgb="FF9334E6"/>
        <rFont val="Arial Unicode MS"/>
      </rPr>
      <t>b</t>
    </r>
    <r>
      <rPr>
        <sz val="10"/>
        <color rgb="FF0A0A0A"/>
        <rFont val="Arial Unicode MS"/>
      </rPr>
      <t xml:space="preserve">&gt; ${last.fuel} л | </t>
    </r>
  </si>
  <si>
    <r>
      <t xml:space="preserve">                &lt;</t>
    </r>
    <r>
      <rPr>
        <sz val="10"/>
        <color rgb="FF9334E6"/>
        <rFont val="Arial Unicode MS"/>
      </rPr>
      <t>b</t>
    </r>
    <r>
      <rPr>
        <sz val="10"/>
        <color rgb="FF0A0A0A"/>
        <rFont val="Arial Unicode MS"/>
      </rPr>
      <t>&gt;Зажигание:&lt;/</t>
    </r>
    <r>
      <rPr>
        <sz val="10"/>
        <color rgb="FF9334E6"/>
        <rFont val="Arial Unicode MS"/>
      </rPr>
      <t>b</t>
    </r>
    <r>
      <rPr>
        <sz val="10"/>
        <color rgb="FF0A0A0A"/>
        <rFont val="Arial Unicode MS"/>
      </rPr>
      <t xml:space="preserve">&gt; ${last.ignition ? </t>
    </r>
    <r>
      <rPr>
        <sz val="10"/>
        <color rgb="FF188038"/>
        <rFont val="Arial Unicode MS"/>
      </rPr>
      <t>'ВКЛ'</t>
    </r>
    <r>
      <rPr>
        <sz val="10"/>
        <color rgb="FF0A0A0A"/>
        <rFont val="Arial Unicode MS"/>
      </rPr>
      <t xml:space="preserve"> : </t>
    </r>
    <r>
      <rPr>
        <sz val="10"/>
        <color rgb="FF188038"/>
        <rFont val="Arial Unicode MS"/>
      </rPr>
      <t>'ВЫКЛ'</t>
    </r>
    <r>
      <rPr>
        <sz val="10"/>
        <color rgb="FF0A0A0A"/>
        <rFont val="Arial Unicode MS"/>
      </rPr>
      <t xml:space="preserve">} | </t>
    </r>
  </si>
  <si>
    <r>
      <t xml:space="preserve">                &lt;</t>
    </r>
    <r>
      <rPr>
        <sz val="10"/>
        <color rgb="FF9334E6"/>
        <rFont val="Arial Unicode MS"/>
      </rPr>
      <t>b</t>
    </r>
    <r>
      <rPr>
        <sz val="10"/>
        <color rgb="FF0A0A0A"/>
        <rFont val="Arial Unicode MS"/>
      </rPr>
      <t>&gt;Скорость:&lt;/</t>
    </r>
    <r>
      <rPr>
        <sz val="10"/>
        <color rgb="FF9334E6"/>
        <rFont val="Arial Unicode MS"/>
      </rPr>
      <t>b</t>
    </r>
    <r>
      <rPr>
        <sz val="10"/>
        <color rgb="FF0A0A0A"/>
        <rFont val="Arial Unicode MS"/>
      </rPr>
      <t>&gt; ${last.speed} км/ч</t>
    </r>
  </si>
  <si>
    <t xml:space="preserve">            `;</t>
  </si>
  <si>
    <t xml:space="preserve">        }</t>
  </si>
  <si>
    <r>
      <t xml:space="preserve">        // Запуск (замени </t>
    </r>
    <r>
      <rPr>
        <sz val="10"/>
        <color rgb="FFB45908"/>
        <rFont val="Arial Unicode MS"/>
      </rPr>
      <t>12345</t>
    </r>
    <r>
      <rPr>
        <sz val="10"/>
        <color rgb="FF0A0A0A"/>
        <rFont val="Arial Unicode MS"/>
      </rPr>
      <t xml:space="preserve"> на реальный IMEI твоего терминала)</t>
    </r>
  </si>
  <si>
    <r>
      <t xml:space="preserve">        setInterval(() =&gt; loadTrack(</t>
    </r>
    <r>
      <rPr>
        <sz val="10"/>
        <color rgb="FF188038"/>
        <rFont val="Arial Unicode MS"/>
      </rPr>
      <t>'12345'</t>
    </r>
    <r>
      <rPr>
        <sz val="10"/>
        <color rgb="FF0A0A0A"/>
        <rFont val="Arial Unicode MS"/>
      </rPr>
      <t xml:space="preserve">), </t>
    </r>
    <r>
      <rPr>
        <sz val="10"/>
        <color rgb="FFB45908"/>
        <rFont val="Arial Unicode MS"/>
      </rPr>
      <t>5000</t>
    </r>
    <r>
      <rPr>
        <sz val="10"/>
        <color rgb="FF0A0A0A"/>
        <rFont val="Arial Unicode MS"/>
      </rPr>
      <t>);</t>
    </r>
  </si>
  <si>
    <r>
      <t xml:space="preserve">    &lt;/</t>
    </r>
    <r>
      <rPr>
        <sz val="10"/>
        <color rgb="FF9334E6"/>
        <rFont val="Arial Unicode MS"/>
      </rPr>
      <t>script</t>
    </r>
    <r>
      <rPr>
        <sz val="10"/>
        <color rgb="FF0A0A0A"/>
        <rFont val="Arial Unicode MS"/>
      </rPr>
      <t>&gt;</t>
    </r>
  </si>
  <si>
    <r>
      <t>&lt;/</t>
    </r>
    <r>
      <rPr>
        <sz val="10"/>
        <color rgb="FF9334E6"/>
        <rFont val="Arial Unicode MS"/>
      </rPr>
      <t>body</t>
    </r>
    <r>
      <rPr>
        <sz val="10"/>
        <color rgb="FF0A0A0A"/>
        <rFont val="Arial Unicode MS"/>
      </rPr>
      <t>&gt;</t>
    </r>
  </si>
  <si>
    <r>
      <t>&lt;/</t>
    </r>
    <r>
      <rPr>
        <sz val="10"/>
        <color rgb="FF9334E6"/>
        <rFont val="Arial Unicode MS"/>
      </rPr>
      <t>html</t>
    </r>
    <r>
      <rPr>
        <sz val="10"/>
        <color rgb="FF0A0A0A"/>
        <rFont val="Arial Unicode MS"/>
      </rPr>
      <t>&gt;</t>
    </r>
  </si>
  <si>
    <t>Как запустить систему:</t>
  </si>
  <si>
    <r>
      <t>1. БД</t>
    </r>
    <r>
      <rPr>
        <sz val="12"/>
        <color rgb="FF0A0A0A"/>
        <rFont val="Arial"/>
        <family val="2"/>
        <charset val="204"/>
      </rPr>
      <t>: Создай базу и выполни SQL-скрипт.</t>
    </r>
  </si>
  <si>
    <r>
      <t>2. Сервер</t>
    </r>
    <r>
      <rPr>
        <sz val="12"/>
        <color rgb="FF0A0A0A"/>
        <rFont val="Arial"/>
        <family val="2"/>
        <charset val="204"/>
      </rPr>
      <t>: Запусти Python-скрипт (</t>
    </r>
    <r>
      <rPr>
        <sz val="11"/>
        <color rgb="FF0A0A0A"/>
        <rFont val="Arial Unicode MS"/>
      </rPr>
      <t>uvicorn main:app --port 8000</t>
    </r>
    <r>
      <rPr>
        <sz val="12"/>
        <color rgb="FF0A0A0A"/>
        <rFont val="Arial"/>
        <family val="2"/>
        <charset val="204"/>
      </rPr>
      <t>).</t>
    </r>
  </si>
  <si>
    <r>
      <t>3. Терминал</t>
    </r>
    <r>
      <rPr>
        <sz val="12"/>
        <color rgb="FF0A0A0A"/>
        <rFont val="Arial"/>
        <family val="2"/>
        <charset val="204"/>
      </rPr>
      <t>: Настрой свой АТ на IP твоего компьютера и порт </t>
    </r>
    <r>
      <rPr>
        <b/>
        <sz val="12"/>
        <color rgb="FF0A0A0A"/>
        <rFont val="Arial"/>
        <family val="2"/>
        <charset val="204"/>
      </rPr>
      <t>5000</t>
    </r>
    <r>
      <rPr>
        <sz val="12"/>
        <color rgb="FF0A0A0A"/>
        <rFont val="Arial"/>
        <family val="2"/>
        <charset val="204"/>
      </rPr>
      <t>.</t>
    </r>
  </si>
  <si>
    <t>Для работы сервера навигации (прием данных + база данных + API) требования к системному блоку зависят от количества одновременно подключенных терминалов.</t>
  </si>
  <si>
    <t>Вот три варианта конфигурации:</t>
  </si>
  <si>
    <t>1. Начальный уровень (до 100 терминалов)</t>
  </si>
  <si>
    <t>Подойдет для тестов и небольшого автопарка.</t>
  </si>
  <si>
    <r>
      <t>Процессор:</t>
    </r>
    <r>
      <rPr>
        <sz val="12"/>
        <color rgb="FF0A0A0A"/>
        <rFont val="Arial"/>
        <family val="2"/>
        <charset val="204"/>
      </rPr>
      <t> 2–4 ядра (например, Intel Core i3 или Ryzen 3). Основная нагрузка ляжет на обработку входящих TCP-пакетов.</t>
    </r>
  </si>
  <si>
    <r>
      <t>Оперативная память (RAM):</t>
    </r>
    <r>
      <rPr>
        <sz val="12"/>
        <color rgb="FF0A0A0A"/>
        <rFont val="Arial"/>
        <family val="2"/>
        <charset val="204"/>
      </rPr>
      <t> </t>
    </r>
    <r>
      <rPr>
        <b/>
        <sz val="12"/>
        <color rgb="FF0A0A0A"/>
        <rFont val="Arial"/>
        <family val="2"/>
        <charset val="204"/>
      </rPr>
      <t>8 ГБ</t>
    </r>
    <r>
      <rPr>
        <sz val="12"/>
        <color rgb="FF0A0A0A"/>
        <rFont val="Arial"/>
        <family val="2"/>
        <charset val="204"/>
      </rPr>
      <t>. PostgreSQL любит кешировать данные в памяти, а Python-процессы (FastAPI) потребляют немного.</t>
    </r>
  </si>
  <si>
    <r>
      <t>Диск (SSD):</t>
    </r>
    <r>
      <rPr>
        <sz val="12"/>
        <color rgb="FF0A0A0A"/>
        <rFont val="Arial"/>
        <family val="2"/>
        <charset val="204"/>
      </rPr>
      <t> </t>
    </r>
    <r>
      <rPr>
        <b/>
        <sz val="12"/>
        <color rgb="FF0A0A0A"/>
        <rFont val="Arial"/>
        <family val="2"/>
        <charset val="204"/>
      </rPr>
      <t>256 ГБ (обязательно SSD)</t>
    </r>
    <r>
      <rPr>
        <sz val="12"/>
        <color rgb="FF0A0A0A"/>
        <rFont val="Arial"/>
        <family val="2"/>
        <charset val="204"/>
      </rPr>
      <t>. База данных навигации постоянно пишет мелкие порции данных. Обычный HDD быстро «захлебнется» на операциях записи (I/O).</t>
    </r>
  </si>
  <si>
    <t>2. Оптимальный уровень (100 – 1000 терминалов)</t>
  </si>
  <si>
    <t>Для стабильной работы навигационной программы с историей за год.</t>
  </si>
  <si>
    <r>
      <t>Процессор:</t>
    </r>
    <r>
      <rPr>
        <sz val="12"/>
        <color rgb="FF0A0A0A"/>
        <rFont val="Arial"/>
        <family val="2"/>
        <charset val="204"/>
      </rPr>
      <t> 6–8 ядер (Intel Core i5 / Ryzen 5). Позволит эффективно использовать многопоточность Python.</t>
    </r>
  </si>
  <si>
    <r>
      <t>Оперативная память (RAM):</t>
    </r>
    <r>
      <rPr>
        <sz val="12"/>
        <color rgb="FF0A0A0A"/>
        <rFont val="Arial"/>
        <family val="2"/>
        <charset val="204"/>
      </rPr>
      <t> </t>
    </r>
    <r>
      <rPr>
        <b/>
        <sz val="12"/>
        <color rgb="FF0A0A0A"/>
        <rFont val="Arial"/>
        <family val="2"/>
        <charset val="204"/>
      </rPr>
      <t>16–32 ГБ</t>
    </r>
    <r>
      <rPr>
        <sz val="12"/>
        <color rgb="FF0A0A0A"/>
        <rFont val="Arial"/>
        <family val="2"/>
        <charset val="204"/>
      </rPr>
      <t>. Это критично для построения длинных треков и отчетов по топливу за большие периоды.</t>
    </r>
  </si>
  <si>
    <r>
      <t>Диск (NVMe SSD):</t>
    </r>
    <r>
      <rPr>
        <sz val="12"/>
        <color rgb="FF0A0A0A"/>
        <rFont val="Arial"/>
        <family val="2"/>
        <charset val="204"/>
      </rPr>
      <t> </t>
    </r>
    <r>
      <rPr>
        <b/>
        <sz val="12"/>
        <color rgb="FF0A0A0A"/>
        <rFont val="Arial"/>
        <family val="2"/>
        <charset val="204"/>
      </rPr>
      <t>512 ГБ – 1 ТБ</t>
    </r>
    <r>
      <rPr>
        <sz val="12"/>
        <color rgb="FF0A0A0A"/>
        <rFont val="Arial"/>
        <family val="2"/>
        <charset val="204"/>
      </rPr>
      <t>. На 100 машин при передаче данных раз в 30 секунд будет генерироваться около 8.6 млн записей в месяц.</t>
    </r>
  </si>
  <si>
    <t>3. Требования к Сети и ОС</t>
  </si>
  <si>
    <t>Это даже важнее «железа»:</t>
  </si>
  <si>
    <r>
      <t>Сетевая карта:</t>
    </r>
    <r>
      <rPr>
        <sz val="12"/>
        <color rgb="FF0A0A0A"/>
        <rFont val="Arial"/>
        <family val="2"/>
        <charset val="204"/>
      </rPr>
      <t> 1 Гбит/с.</t>
    </r>
  </si>
  <si>
    <r>
      <t>IP-адрес:</t>
    </r>
    <r>
      <rPr>
        <sz val="12"/>
        <color rgb="FF0A0A0A"/>
        <rFont val="Arial"/>
        <family val="2"/>
        <charset val="204"/>
      </rPr>
      <t> </t>
    </r>
    <r>
      <rPr>
        <b/>
        <sz val="12"/>
        <color rgb="FF0A0A0A"/>
        <rFont val="Arial"/>
        <family val="2"/>
        <charset val="204"/>
      </rPr>
      <t>Статический («Белый»)</t>
    </r>
    <r>
      <rPr>
        <sz val="12"/>
        <color rgb="FF0A0A0A"/>
        <rFont val="Arial"/>
        <family val="2"/>
        <charset val="204"/>
      </rPr>
      <t>. Терминалы должны знать четкий адрес, куда слать пакеты. Если IP сменится, связь пропадет у всех машин сразу.</t>
    </r>
  </si>
  <si>
    <r>
      <t>ОС:</t>
    </r>
    <r>
      <rPr>
        <sz val="12"/>
        <color rgb="FF0A0A0A"/>
        <rFont val="Arial"/>
        <family val="2"/>
        <charset val="204"/>
      </rPr>
      <t> Рекомендую </t>
    </r>
    <r>
      <rPr>
        <b/>
        <sz val="12"/>
        <color rgb="FF0A0A0A"/>
        <rFont val="Arial"/>
        <family val="2"/>
        <charset val="204"/>
      </rPr>
      <t>Linux (Ubuntu Server или Debian)</t>
    </r>
    <r>
      <rPr>
        <sz val="12"/>
        <color rgb="FF0A0A0A"/>
        <rFont val="Arial"/>
        <family val="2"/>
        <charset val="204"/>
      </rPr>
      <t>. Она стабильнее держит тысячи TCP-соединений и лучше управляет ресурсами PostgreSQL, чем Windows.</t>
    </r>
  </si>
  <si>
    <r>
      <t>Бесперебойник (ИБП):</t>
    </r>
    <r>
      <rPr>
        <sz val="12"/>
        <color rgb="FF0A0A0A"/>
        <rFont val="Arial"/>
        <family val="2"/>
        <charset val="204"/>
      </rPr>
      <t> Обязателен. Резкое выключение питания при активной записи в базу данных может повредить таблицу с координатами.</t>
    </r>
  </si>
  <si>
    <t>Резюме по железу</t>
  </si>
  <si>
    <r>
      <t>Если собираешь систему прямо сейчас «из того, что есть», бери любой современный ПК с </t>
    </r>
    <r>
      <rPr>
        <b/>
        <sz val="12"/>
        <color rgb="FF0A0A0A"/>
        <rFont val="Arial"/>
        <family val="2"/>
        <charset val="204"/>
      </rPr>
      <t>8 ГБ ОЗУ</t>
    </r>
    <r>
      <rPr>
        <sz val="12"/>
        <color rgb="FF0A0A0A"/>
        <rFont val="Arial"/>
        <family val="2"/>
        <charset val="204"/>
      </rPr>
      <t> и поставь туда </t>
    </r>
    <r>
      <rPr>
        <b/>
        <sz val="12"/>
        <color rgb="FF0A0A0A"/>
        <rFont val="Arial"/>
        <family val="2"/>
        <charset val="204"/>
      </rPr>
      <t>SSD</t>
    </r>
    <r>
      <rPr>
        <sz val="12"/>
        <color rgb="FF0A0A0A"/>
        <rFont val="Arial"/>
        <family val="2"/>
        <charset val="204"/>
      </rPr>
      <t>. Самое узкое место в навигации — это </t>
    </r>
    <r>
      <rPr>
        <b/>
        <sz val="12"/>
        <color rgb="FF0A0A0A"/>
        <rFont val="Arial"/>
        <family val="2"/>
        <charset val="204"/>
      </rPr>
      <t>скорость записи на диск</t>
    </r>
    <r>
      <rPr>
        <sz val="12"/>
        <color rgb="FF0A0A0A"/>
        <rFont val="Arial"/>
        <family val="2"/>
        <charset val="204"/>
      </rPr>
      <t> и </t>
    </r>
    <r>
      <rPr>
        <b/>
        <sz val="12"/>
        <color rgb="FF0A0A0A"/>
        <rFont val="Arial"/>
        <family val="2"/>
        <charset val="204"/>
      </rPr>
      <t>стабильность интернета</t>
    </r>
    <r>
      <rPr>
        <sz val="12"/>
        <color rgb="FF0A0A0A"/>
        <rFont val="Arial"/>
        <family val="2"/>
        <charset val="204"/>
      </rPr>
      <t>.</t>
    </r>
  </si>
  <si>
    <r>
      <t>У тебя уже есть </t>
    </r>
    <r>
      <rPr>
        <b/>
        <sz val="12"/>
        <color rgb="FF0A0A0A"/>
        <rFont val="Arial"/>
        <family val="2"/>
        <charset val="204"/>
      </rPr>
      <t>выделенный статический IP</t>
    </r>
    <r>
      <rPr>
        <sz val="12"/>
        <color rgb="FF0A0A0A"/>
        <rFont val="Arial"/>
        <family val="2"/>
        <charset val="204"/>
      </rPr>
      <t> от провайдера для этого сервера?</t>
    </r>
  </si>
  <si>
    <t>МО-36</t>
  </si>
  <si>
    <t>С217МН72</t>
  </si>
  <si>
    <t>С884НС72</t>
  </si>
  <si>
    <t>Т052СС72</t>
  </si>
  <si>
    <t>Т051СС72</t>
  </si>
  <si>
    <t>Р031МС72</t>
  </si>
  <si>
    <t>Р026МС72</t>
  </si>
  <si>
    <t>С886НС72</t>
  </si>
  <si>
    <t>С842НС72</t>
  </si>
  <si>
    <t>С241МН72</t>
  </si>
  <si>
    <t>С228МН72</t>
  </si>
  <si>
    <t>С165МН72</t>
  </si>
  <si>
    <t>С141МН72</t>
  </si>
  <si>
    <t>Т053СС72</t>
  </si>
  <si>
    <t>Р027МС72</t>
  </si>
  <si>
    <t>С238МН72</t>
  </si>
  <si>
    <t>С177МН72</t>
  </si>
  <si>
    <t>Р028МС72</t>
  </si>
  <si>
    <t>Р025МС72</t>
  </si>
  <si>
    <t>С887НС72</t>
  </si>
  <si>
    <t>С881НС72</t>
  </si>
  <si>
    <t>С840НС72</t>
  </si>
  <si>
    <t>Р029МС72</t>
  </si>
  <si>
    <t>С880НС72</t>
  </si>
  <si>
    <t>Р030МС72</t>
  </si>
  <si>
    <t>С234МН72</t>
  </si>
  <si>
    <t>С220МН72</t>
  </si>
  <si>
    <t>С824НС72</t>
  </si>
  <si>
    <t>С225МН72</t>
  </si>
  <si>
    <t>А525АТ172</t>
  </si>
  <si>
    <t>Самосвал SITRAK 6x4</t>
  </si>
  <si>
    <t>А542АТ172</t>
  </si>
  <si>
    <t>А538АТ172</t>
  </si>
  <si>
    <t>А446АТ172</t>
  </si>
  <si>
    <t>А021АТ172</t>
  </si>
  <si>
    <t>В126НО172</t>
  </si>
  <si>
    <t>В078НН172</t>
  </si>
  <si>
    <t>А743ХМ172</t>
  </si>
  <si>
    <t>А734ХМ172</t>
  </si>
  <si>
    <t>А695ХМ172</t>
  </si>
  <si>
    <t>В085НН172</t>
  </si>
  <si>
    <t>Х570РХ72</t>
  </si>
  <si>
    <t>Х331РХ72</t>
  </si>
  <si>
    <t>Х371РХ72</t>
  </si>
  <si>
    <t>Х383РХ72</t>
  </si>
  <si>
    <t>Х339РХ72</t>
  </si>
  <si>
    <t>ТЛК</t>
  </si>
  <si>
    <t>Х347СК72</t>
  </si>
  <si>
    <t>Р664КХ72</t>
  </si>
  <si>
    <t>Р665КХ72</t>
  </si>
  <si>
    <t>О154ЕР72</t>
  </si>
  <si>
    <t>О156ЕР72</t>
  </si>
  <si>
    <t>МО-15</t>
  </si>
  <si>
    <t>В472ХН86</t>
  </si>
  <si>
    <t>Р871МР186</t>
  </si>
  <si>
    <t>Самосвал SANY 6x4</t>
  </si>
  <si>
    <t>Р391МС186</t>
  </si>
  <si>
    <t>Р886МР186</t>
  </si>
  <si>
    <t>Р877МР186</t>
  </si>
  <si>
    <t>Р404МС186</t>
  </si>
  <si>
    <t>Р424МС186</t>
  </si>
  <si>
    <t>Р739МТ186</t>
  </si>
  <si>
    <t>Р791МТ186</t>
  </si>
  <si>
    <t>Р856МР186</t>
  </si>
  <si>
    <t>Р381МС186</t>
  </si>
  <si>
    <t>Р372МС186</t>
  </si>
  <si>
    <t>Р595МО186</t>
  </si>
  <si>
    <t>Р762МТ186</t>
  </si>
  <si>
    <t>Р459МС186</t>
  </si>
  <si>
    <t>Р382МС186</t>
  </si>
  <si>
    <t>Р605МО186</t>
  </si>
  <si>
    <t>Р855МР186</t>
  </si>
  <si>
    <t>Р755МТ186</t>
  </si>
  <si>
    <t>Р161МР186</t>
  </si>
  <si>
    <t>Р445МС186</t>
  </si>
  <si>
    <t>А927ОХ172</t>
  </si>
  <si>
    <t>Самосвал MERCEDES benz actros 4141A</t>
  </si>
  <si>
    <t>С224ОХ72</t>
  </si>
  <si>
    <t>С243ОХ72</t>
  </si>
  <si>
    <t>Т220ХА72</t>
  </si>
  <si>
    <t>Т219ХА72</t>
  </si>
  <si>
    <t>К404УА186</t>
  </si>
  <si>
    <t>К641УК186</t>
  </si>
  <si>
    <t>Р322ТН186</t>
  </si>
  <si>
    <t xml:space="preserve">Самосвал HINO 658991E 6x4 </t>
  </si>
  <si>
    <t>В401НК172</t>
  </si>
  <si>
    <t>В430НС172</t>
  </si>
  <si>
    <t>Вес, тонн</t>
  </si>
  <si>
    <t>Объём, м3</t>
  </si>
  <si>
    <t>Гос. номер</t>
  </si>
  <si>
    <t>Марка машины</t>
  </si>
  <si>
    <t>Доставка инерта</t>
  </si>
  <si>
    <t>Работа по месту</t>
  </si>
  <si>
    <t>вывоз инерта</t>
  </si>
  <si>
    <t>Ремонт</t>
  </si>
  <si>
    <t>КИП техники</t>
  </si>
  <si>
    <t>Условие</t>
  </si>
  <si>
    <t>2. КИП и Нагрузка в диапозоне от 0% до 100% отрицательных или превышающих значений не должно быть.</t>
  </si>
  <si>
    <t>3. Если нет данных за смену то нужно проверить за период отстутствующие данные. Если в период проверки в 1 смену есть данные, а во 2 смену нет, значит КИП и нагрузка в эту смену = 0% (при условии если количество топлива в баке не изменилось (+-15 лит) во время отсутствия данных), в противном случае прописать "нет данных". так же данное условие применяем и к 1 смене, когда во 2 смену данные будут.</t>
  </si>
  <si>
    <t>4. Если в 1 или во 2 смену данные за не полное кол-во часов в смену (т.е. данные отсутствуют), но ТС отбивается в одном и том же месте между сменами, учитывать время нахождения в зоне 12:00</t>
  </si>
  <si>
    <t>5. Если нет данных более 4 дней, то выводить на карте последнее местоположение на карте, а КИП и нагрузку расчитывать только за те дни когда была связь. Если за выбраный период у ТС небыло данных и отсутствуют путевые листы, то указывать КИП = 0% и нагрузку = 0%, если путевые листы есть то нужно прописать "нет данных с (дата)"</t>
  </si>
  <si>
    <t>1. Если зажигание вкл., а расход топлива = 0 лит, то нужно произвести проверку, выключалось ли зажигание в течении недели, если да то КИП = времени работы зажигания (максимальный КИП=100%), а нагрузка = 50% по умолчанию (из за того что датчик неисправен мы не можем указать 0%), если расход был более 10 литров в смену то учитывать работу ДВС только во время расхода топлива (из за неисправного датчика например во вторую смену КИП был бы 100%, а по факту 0%), но при нулевом расходе КИП = 0%, Наргузка = 0%</t>
  </si>
  <si>
    <t>Замечание</t>
  </si>
  <si>
    <t>Выявить причину отсутствующих ТС к примеру: 0455ОК72 (у него отсутствуют ПЛ и Заявка), 2314ОЕ72 (нет данных с 17.02.26)</t>
  </si>
  <si>
    <t>Проверить есть ли смещение на сутки в блоке "Выработка МиМ по дням" Пример: На примере бульдозера 7719ОЕ72 выявил смещение на сутки
Пример: 23.02.26 по ТИС в 1 смену ТС проработал 11 часов (КИП 100%) но в таблице КИП указано 47%, а 24.02.26 по ТИС в 1 смену ТС проработал 5:09 часов (КИП ~47%) но в таблице КИП указано 82%</t>
  </si>
  <si>
    <t>Прописать условия (проверить пример отрицательного значения нагрузки за 19.02. у 5351оа72)</t>
  </si>
  <si>
    <t>В блоке "Выработка МиМ по дням" закрепить шапку и покрасить</t>
  </si>
  <si>
    <t>Интерфейс</t>
  </si>
  <si>
    <t>Изменить цыет шрифта:Тёмная тема - белый шрифт, светлая тема - чёрный шрифт</t>
  </si>
  <si>
    <t>Увеличить маштаб шрифта</t>
  </si>
  <si>
    <r>
      <t>При выборе любого блока в фильтре отдалять карту до границ крайних ТС выпадающих по фильтру (</t>
    </r>
    <r>
      <rPr>
        <b/>
        <sz val="11"/>
        <color theme="1"/>
        <rFont val="Calibri"/>
        <family val="2"/>
        <charset val="204"/>
        <scheme val="minor"/>
      </rPr>
      <t>по возможности</t>
    </r>
    <r>
      <rPr>
        <sz val="11"/>
        <color theme="1"/>
        <rFont val="Calibri"/>
        <family val="2"/>
        <scheme val="minor"/>
      </rPr>
      <t>)</t>
    </r>
  </si>
  <si>
    <t>Блок в шапке " средний КИП" выбор значений сделать строкой</t>
  </si>
  <si>
    <t>Фильтр "Тип ТС" отображать г/п только те которые есть ( к примеру автомобильный кран 40 тонн есть, а вот 280 тонн нет такого у нас)</t>
  </si>
  <si>
    <t>В блоке "Выработка МиМ по дням" - Параметры расчёта по дням / сменам требуется: в шапке прописать полностью наименование столбика, Шрифт использовать 1 пункт в интерфейсе, смена сначало 1 потом 2, изменить формат с числового во временной 3,4,5 столбик, добавить нагрузку</t>
  </si>
  <si>
    <t xml:space="preserve">На карте сгруппированные ТС при нажатии отображать: </t>
  </si>
  <si>
    <t>НПС // Мониторинг</t>
  </si>
  <si>
    <t>допилить всплывающее меню на Таймлайне</t>
  </si>
  <si>
    <t>Убрать флаг с карты</t>
  </si>
  <si>
    <t>Главное меню</t>
  </si>
  <si>
    <t>Блок 1: Тягачи - норм, Самосвалы - текущее состояние работы ТС в 1 смену текущего дня до времени обновления страницы с информацией по иерархии: регион - кол-во ТС в работе, простое, ремонте. При нажатии к примеру в работе: раскрывается список ТС</t>
  </si>
  <si>
    <t>почта</t>
  </si>
  <si>
    <t>пароль</t>
  </si>
  <si>
    <t>сервис аккаунт</t>
  </si>
  <si>
    <t>ключ</t>
  </si>
  <si>
    <t>transport-data-sync</t>
  </si>
  <si>
    <t>mstroy.transport@gmail.com</t>
  </si>
  <si>
    <t>nRPC0%Xx</t>
  </si>
  <si>
    <t>\\syn1010\OGTR\2. Отдел Мониторинга и Контроля Мим\!!!Княжев А.Н\!!Разработка</t>
  </si>
  <si>
    <t xml:space="preserve">ID таблицы </t>
  </si>
  <si>
    <t>1DabDuxyA3DdI9BDuCKN9NgQ3joEQ7sxd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</si>
</sst>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594304"/>
      <name val="Arial"/>
      <family val="2"/>
    </font>
    <font>
      <sz val="10"/>
      <color rgb="FF594304"/>
      <name val="Arial"/>
      <family val="2"/>
    </font>
    <font>
      <sz val="8"/>
      <color rgb="FF000000"/>
      <name val="Arial"/>
      <family val="2"/>
    </font>
    <font>
      <sz val="8"/>
      <color rgb="FF000000"/>
      <name val="PT Astra Serif"/>
    </font>
    <font>
      <sz val="8"/>
      <color rgb="FFFF0000"/>
      <name val="Arial"/>
      <family val="2"/>
      <charset val="204"/>
    </font>
    <font>
      <b/>
      <sz val="11"/>
      <color theme="1"/>
      <name val="Calibri"/>
      <family val="2"/>
      <scheme val="minor"/>
    </font>
    <font>
      <sz val="9"/>
      <color rgb="FF555555"/>
      <name val="Arial"/>
      <family val="2"/>
      <charset val="204"/>
    </font>
    <font>
      <sz val="8"/>
      <color rgb="FF000000"/>
      <name val="PT Astra Serif"/>
      <family val="2"/>
    </font>
    <font>
      <sz val="9"/>
      <color rgb="FF000000"/>
      <name val="Tahoma"/>
      <family val="2"/>
      <charset val="204"/>
    </font>
    <font>
      <b/>
      <sz val="8"/>
      <color theme="0"/>
      <name val="Tahoma"/>
      <family val="2"/>
      <charset val="204"/>
    </font>
    <font>
      <b/>
      <sz val="10"/>
      <color theme="0"/>
      <name val="Tahoma"/>
      <family val="2"/>
      <charset val="204"/>
    </font>
    <font>
      <sz val="12"/>
      <color rgb="FF000000"/>
      <name val="Arial Narrow"/>
      <family val="2"/>
      <charset val="204"/>
    </font>
    <font>
      <sz val="10"/>
      <color theme="1"/>
      <name val="Calibri"/>
      <family val="2"/>
      <charset val="204"/>
    </font>
    <font>
      <sz val="12"/>
      <color theme="1"/>
      <name val="Arial Narrow"/>
      <family val="2"/>
      <charset val="204"/>
    </font>
    <font>
      <sz val="12"/>
      <color rgb="FFFF0000"/>
      <name val="Arial Narrow"/>
      <family val="2"/>
      <charset val="204"/>
    </font>
    <font>
      <sz val="10"/>
      <color theme="1"/>
      <name val="Tahoma"/>
      <family val="2"/>
      <charset val="204"/>
    </font>
    <font>
      <sz val="10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A0A0A"/>
      <name val="Arial"/>
      <family val="2"/>
      <charset val="204"/>
    </font>
    <font>
      <b/>
      <sz val="12"/>
      <color rgb="FF0A0A0A"/>
      <name val="Arial"/>
      <family val="2"/>
      <charset val="204"/>
    </font>
    <font>
      <sz val="15"/>
      <color rgb="FF0A0A0A"/>
      <name val="Arial"/>
      <family val="2"/>
      <charset val="204"/>
    </font>
    <font>
      <sz val="15"/>
      <color rgb="FF0A0A0A"/>
      <name val="Arial"/>
      <family val="2"/>
      <charset val="204"/>
    </font>
    <font>
      <sz val="10"/>
      <color rgb="FF0A0A0A"/>
      <name val="Arial Unicode MS"/>
    </font>
    <font>
      <sz val="10"/>
      <color rgb="FF9334E6"/>
      <name val="Arial Unicode MS"/>
    </font>
    <font>
      <sz val="10"/>
      <color rgb="FFB45908"/>
      <name val="Arial Unicode MS"/>
    </font>
    <font>
      <i/>
      <sz val="10"/>
      <color rgb="FF80868B"/>
      <name val="Arial Unicode MS"/>
    </font>
    <font>
      <sz val="9"/>
      <color rgb="FF0A0A0A"/>
      <name val="Arial"/>
      <family val="2"/>
      <charset val="204"/>
    </font>
    <font>
      <i/>
      <sz val="12"/>
      <color rgb="FF0A0A0A"/>
      <name val="Arial"/>
      <family val="2"/>
      <charset val="204"/>
    </font>
    <font>
      <i/>
      <sz val="11"/>
      <color rgb="FF0A0A0A"/>
      <name val="Arial Unicode MS"/>
    </font>
    <font>
      <sz val="10"/>
      <color rgb="FF188038"/>
      <name val="Arial Unicode MS"/>
    </font>
    <font>
      <sz val="11"/>
      <color rgb="FF0A0A0A"/>
      <name val="Arial Unicode MS"/>
    </font>
    <font>
      <sz val="10"/>
      <color rgb="FF000000"/>
      <name val="Calibri"/>
      <family val="2"/>
      <charset val="204"/>
      <scheme val="minor"/>
    </font>
    <font>
      <sz val="11"/>
      <color rgb="FF000000"/>
      <name val="Arial Narrow"/>
      <family val="2"/>
      <charset val="204"/>
    </font>
    <font>
      <sz val="11"/>
      <color rgb="FFFFFFFF"/>
      <name val="Arial Narrow"/>
      <family val="2"/>
      <charset val="204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5F2DD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499984740745262"/>
        <bgColor rgb="FFE69138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9138"/>
        <bgColor rgb="FFE69138"/>
      </patternFill>
    </fill>
    <fill>
      <patternFill patternType="solid">
        <fgColor rgb="FF305496"/>
        <bgColor rgb="FF305496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medium">
        <color rgb="FFF0F2F5"/>
      </left>
      <right style="medium">
        <color rgb="FFF0F2F5"/>
      </right>
      <top style="medium">
        <color rgb="FFF0F2F5"/>
      </top>
      <bottom style="medium">
        <color rgb="FFF0F2F5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5" fillId="0" borderId="0"/>
    <xf numFmtId="0" fontId="39" fillId="0" borderId="0" applyNumberFormat="0" applyFill="0" applyBorder="0" applyAlignment="0" applyProtection="0"/>
  </cellStyleXfs>
  <cellXfs count="180">
    <xf numFmtId="0" fontId="0" fillId="0" borderId="0" xfId="0"/>
    <xf numFmtId="0" fontId="3" fillId="2" borderId="1" xfId="2" applyFont="1" applyFill="1" applyBorder="1" applyAlignment="1">
      <alignment horizontal="left" vertical="top"/>
    </xf>
    <xf numFmtId="0" fontId="3" fillId="3" borderId="1" xfId="2" applyFont="1" applyFill="1" applyBorder="1" applyAlignment="1">
      <alignment horizontal="left" vertical="top"/>
    </xf>
    <xf numFmtId="0" fontId="4" fillId="3" borderId="1" xfId="2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/>
    </xf>
    <xf numFmtId="0" fontId="2" fillId="0" borderId="0" xfId="2"/>
    <xf numFmtId="1" fontId="5" fillId="5" borderId="1" xfId="2" applyNumberFormat="1" applyFont="1" applyFill="1" applyBorder="1" applyAlignment="1">
      <alignment horizontal="right" vertical="top"/>
    </xf>
    <xf numFmtId="0" fontId="5" fillId="5" borderId="1" xfId="2" applyFont="1" applyFill="1" applyBorder="1" applyAlignment="1">
      <alignment horizontal="left" vertical="top"/>
    </xf>
    <xf numFmtId="164" fontId="5" fillId="5" borderId="1" xfId="2" applyNumberFormat="1" applyFont="1" applyFill="1" applyBorder="1" applyAlignment="1">
      <alignment horizontal="right" vertical="top"/>
    </xf>
    <xf numFmtId="164" fontId="5" fillId="4" borderId="1" xfId="2" applyNumberFormat="1" applyFont="1" applyFill="1" applyBorder="1" applyAlignment="1">
      <alignment horizontal="center" vertical="center"/>
    </xf>
    <xf numFmtId="4" fontId="5" fillId="5" borderId="1" xfId="2" applyNumberFormat="1" applyFont="1" applyFill="1" applyBorder="1" applyAlignment="1">
      <alignment horizontal="right" vertical="top"/>
    </xf>
    <xf numFmtId="2" fontId="5" fillId="5" borderId="1" xfId="2" applyNumberFormat="1" applyFont="1" applyFill="1" applyBorder="1" applyAlignment="1">
      <alignment horizontal="right" vertical="top"/>
    </xf>
    <xf numFmtId="0" fontId="2" fillId="0" borderId="0" xfId="2" applyAlignment="1">
      <alignment horizontal="left"/>
    </xf>
    <xf numFmtId="164" fontId="5" fillId="4" borderId="1" xfId="2" applyNumberFormat="1" applyFont="1" applyFill="1" applyBorder="1" applyAlignment="1">
      <alignment horizontal="center" vertical="top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49" fontId="5" fillId="5" borderId="1" xfId="2" applyNumberFormat="1" applyFont="1" applyFill="1" applyBorder="1" applyAlignment="1">
      <alignment horizontal="left" vertical="top"/>
    </xf>
    <xf numFmtId="0" fontId="6" fillId="5" borderId="3" xfId="0" applyFont="1" applyFill="1" applyBorder="1" applyAlignment="1">
      <alignment horizontal="left" vertical="center" wrapText="1"/>
    </xf>
    <xf numFmtId="49" fontId="2" fillId="6" borderId="0" xfId="2" applyNumberFormat="1" applyFill="1" applyAlignment="1">
      <alignment horizontal="right"/>
    </xf>
    <xf numFmtId="49" fontId="2" fillId="6" borderId="0" xfId="2" applyNumberFormat="1" applyFill="1"/>
    <xf numFmtId="0" fontId="2" fillId="6" borderId="0" xfId="2" applyFill="1"/>
    <xf numFmtId="0" fontId="2" fillId="0" borderId="1" xfId="2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2" fillId="0" borderId="1" xfId="2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5" fillId="5" borderId="0" xfId="2" applyFont="1" applyFill="1" applyAlignment="1">
      <alignment horizontal="left" vertical="top"/>
    </xf>
    <xf numFmtId="0" fontId="5" fillId="5" borderId="2" xfId="2" applyFont="1" applyFill="1" applyBorder="1" applyAlignment="1">
      <alignment horizontal="left" vertical="top"/>
    </xf>
    <xf numFmtId="164" fontId="5" fillId="4" borderId="0" xfId="2" applyNumberFormat="1" applyFont="1" applyFill="1" applyAlignment="1">
      <alignment horizontal="center" vertical="center"/>
    </xf>
    <xf numFmtId="0" fontId="2" fillId="0" borderId="0" xfId="2" applyAlignment="1">
      <alignment horizontal="center"/>
    </xf>
    <xf numFmtId="0" fontId="0" fillId="0" borderId="4" xfId="0" applyBorder="1"/>
    <xf numFmtId="1" fontId="5" fillId="5" borderId="0" xfId="2" applyNumberFormat="1" applyFont="1" applyFill="1" applyAlignment="1">
      <alignment horizontal="right" vertical="top"/>
    </xf>
    <xf numFmtId="164" fontId="5" fillId="5" borderId="0" xfId="2" applyNumberFormat="1" applyFont="1" applyFill="1" applyAlignment="1">
      <alignment horizontal="right" vertical="top"/>
    </xf>
    <xf numFmtId="0" fontId="2" fillId="0" borderId="2" xfId="2" applyBorder="1" applyAlignment="1">
      <alignment horizontal="left"/>
    </xf>
    <xf numFmtId="0" fontId="7" fillId="0" borderId="0" xfId="2" applyFont="1" applyAlignment="1">
      <alignment horizont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indent="1"/>
    </xf>
    <xf numFmtId="0" fontId="9" fillId="0" borderId="0" xfId="0" applyFont="1"/>
    <xf numFmtId="4" fontId="5" fillId="5" borderId="0" xfId="2" applyNumberFormat="1" applyFont="1" applyFill="1" applyAlignment="1">
      <alignment horizontal="right" vertical="top"/>
    </xf>
    <xf numFmtId="2" fontId="5" fillId="5" borderId="0" xfId="2" applyNumberFormat="1" applyFont="1" applyFill="1" applyAlignment="1">
      <alignment horizontal="right" vertical="top"/>
    </xf>
    <xf numFmtId="0" fontId="10" fillId="5" borderId="3" xfId="0" applyFont="1" applyFill="1" applyBorder="1" applyAlignment="1">
      <alignment horizontal="left" vertical="center" wrapText="1"/>
    </xf>
    <xf numFmtId="0" fontId="11" fillId="0" borderId="0" xfId="0" applyFont="1"/>
    <xf numFmtId="0" fontId="12" fillId="7" borderId="5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14" fillId="9" borderId="3" xfId="0" applyFont="1" applyFill="1" applyBorder="1" applyAlignment="1">
      <alignment horizontal="left" vertical="center"/>
    </xf>
    <xf numFmtId="0" fontId="14" fillId="9" borderId="3" xfId="0" applyFont="1" applyFill="1" applyBorder="1" applyAlignment="1">
      <alignment horizontal="center" vertical="center"/>
    </xf>
    <xf numFmtId="0" fontId="15" fillId="0" borderId="0" xfId="0" applyFont="1"/>
    <xf numFmtId="0" fontId="16" fillId="10" borderId="3" xfId="0" applyFont="1" applyFill="1" applyBorder="1" applyAlignment="1">
      <alignment horizontal="left" vertical="center"/>
    </xf>
    <xf numFmtId="0" fontId="16" fillId="9" borderId="3" xfId="0" applyFont="1" applyFill="1" applyBorder="1" applyAlignment="1">
      <alignment horizontal="left" vertical="center"/>
    </xf>
    <xf numFmtId="0" fontId="17" fillId="10" borderId="3" xfId="0" applyFont="1" applyFill="1" applyBorder="1" applyAlignment="1">
      <alignment horizontal="left" vertical="center"/>
    </xf>
    <xf numFmtId="0" fontId="17" fillId="9" borderId="3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4" fillId="10" borderId="3" xfId="0" applyFont="1" applyFill="1" applyBorder="1" applyAlignment="1">
      <alignment horizontal="left" vertical="center"/>
    </xf>
    <xf numFmtId="0" fontId="16" fillId="10" borderId="3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left"/>
    </xf>
    <xf numFmtId="0" fontId="16" fillId="9" borderId="3" xfId="0" applyFont="1" applyFill="1" applyBorder="1" applyAlignment="1">
      <alignment horizontal="center"/>
    </xf>
    <xf numFmtId="0" fontId="14" fillId="9" borderId="3" xfId="0" applyFont="1" applyFill="1" applyBorder="1" applyAlignment="1">
      <alignment horizontal="center"/>
    </xf>
    <xf numFmtId="0" fontId="14" fillId="9" borderId="3" xfId="0" applyFont="1" applyFill="1" applyBorder="1" applyAlignment="1">
      <alignment horizontal="left"/>
    </xf>
    <xf numFmtId="0" fontId="16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16" fillId="10" borderId="6" xfId="0" applyFont="1" applyFill="1" applyBorder="1" applyAlignment="1">
      <alignment horizontal="left" vertical="center"/>
    </xf>
    <xf numFmtId="0" fontId="14" fillId="9" borderId="6" xfId="0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horizontal="left" vertical="center"/>
    </xf>
    <xf numFmtId="0" fontId="16" fillId="10" borderId="6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vertical="center"/>
    </xf>
    <xf numFmtId="0" fontId="17" fillId="9" borderId="3" xfId="0" applyFont="1" applyFill="1" applyBorder="1" applyAlignment="1">
      <alignment vertical="center"/>
    </xf>
    <xf numFmtId="0" fontId="16" fillId="9" borderId="3" xfId="0" applyFont="1" applyFill="1" applyBorder="1" applyAlignment="1">
      <alignment horizontal="left" vertical="center" wrapText="1"/>
    </xf>
    <xf numFmtId="0" fontId="17" fillId="10" borderId="3" xfId="0" applyFont="1" applyFill="1" applyBorder="1" applyAlignment="1">
      <alignment vertical="center"/>
    </xf>
    <xf numFmtId="0" fontId="14" fillId="9" borderId="3" xfId="0" applyFont="1" applyFill="1" applyBorder="1" applyAlignment="1">
      <alignment horizontal="left" vertical="center" wrapText="1"/>
    </xf>
    <xf numFmtId="0" fontId="16" fillId="0" borderId="3" xfId="0" applyFont="1" applyBorder="1" applyAlignment="1">
      <alignment vertical="center"/>
    </xf>
    <xf numFmtId="0" fontId="14" fillId="10" borderId="3" xfId="0" applyFont="1" applyFill="1" applyBorder="1" applyAlignment="1">
      <alignment vertical="center"/>
    </xf>
    <xf numFmtId="0" fontId="14" fillId="10" borderId="3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vertical="center"/>
    </xf>
    <xf numFmtId="0" fontId="16" fillId="9" borderId="3" xfId="0" applyFont="1" applyFill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0" borderId="7" xfId="0" applyBorder="1"/>
    <xf numFmtId="16" fontId="0" fillId="0" borderId="7" xfId="0" applyNumberFormat="1" applyBorder="1"/>
    <xf numFmtId="9" fontId="0" fillId="0" borderId="7" xfId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1" fillId="12" borderId="7" xfId="0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3" xfId="0" applyBorder="1" applyAlignment="1">
      <alignment vertical="center"/>
    </xf>
    <xf numFmtId="0" fontId="22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24" fillId="0" borderId="0" xfId="0" applyFont="1" applyAlignment="1">
      <alignment horizontal="left" vertical="center" wrapText="1" indent="1"/>
    </xf>
    <xf numFmtId="0" fontId="25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0" fillId="0" borderId="31" xfId="0" applyBorder="1" applyAlignment="1">
      <alignment horizontal="left" vertical="center" wrapText="1" indent="1"/>
    </xf>
    <xf numFmtId="0" fontId="30" fillId="0" borderId="0" xfId="0" applyFont="1" applyAlignment="1">
      <alignment horizontal="left" vertical="center" wrapText="1" indent="1"/>
    </xf>
    <xf numFmtId="0" fontId="0" fillId="13" borderId="0" xfId="0" applyFill="1" applyAlignment="1">
      <alignment horizontal="left" vertical="center" wrapText="1" indent="1"/>
    </xf>
    <xf numFmtId="0" fontId="31" fillId="0" borderId="0" xfId="0" applyFont="1" applyAlignment="1">
      <alignment horizontal="left" vertical="center" wrapText="1" indent="1"/>
    </xf>
    <xf numFmtId="0" fontId="29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23" fillId="0" borderId="0" xfId="0" applyFont="1" applyAlignment="1">
      <alignment horizontal="left" vertical="center" wrapText="1" indent="2"/>
    </xf>
    <xf numFmtId="0" fontId="22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31" fillId="0" borderId="0" xfId="0" applyFont="1" applyAlignment="1">
      <alignment vertical="center" wrapText="1"/>
    </xf>
    <xf numFmtId="0" fontId="23" fillId="0" borderId="0" xfId="0" applyFont="1" applyAlignment="1">
      <alignment horizontal="left" vertical="center" wrapText="1" indent="1"/>
    </xf>
    <xf numFmtId="0" fontId="35" fillId="0" borderId="0" xfId="3"/>
    <xf numFmtId="0" fontId="14" fillId="9" borderId="3" xfId="3" applyFont="1" applyFill="1" applyBorder="1" applyAlignment="1">
      <alignment horizontal="center" vertical="center"/>
    </xf>
    <xf numFmtId="0" fontId="36" fillId="10" borderId="3" xfId="3" applyFont="1" applyFill="1" applyBorder="1" applyAlignment="1">
      <alignment horizontal="center" vertical="center"/>
    </xf>
    <xf numFmtId="0" fontId="36" fillId="10" borderId="3" xfId="3" applyFont="1" applyFill="1" applyBorder="1" applyAlignment="1">
      <alignment horizontal="left" vertical="center"/>
    </xf>
    <xf numFmtId="0" fontId="37" fillId="7" borderId="5" xfId="3" applyFont="1" applyFill="1" applyBorder="1" applyAlignment="1">
      <alignment horizontal="center" vertical="center"/>
    </xf>
    <xf numFmtId="0" fontId="37" fillId="14" borderId="5" xfId="3" applyFont="1" applyFill="1" applyBorder="1" applyAlignment="1">
      <alignment horizontal="center" vertical="center"/>
    </xf>
    <xf numFmtId="0" fontId="37" fillId="15" borderId="5" xfId="3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" fontId="14" fillId="9" borderId="3" xfId="3" applyNumberFormat="1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 wrapText="1"/>
    </xf>
    <xf numFmtId="0" fontId="40" fillId="0" borderId="0" xfId="0" applyFont="1" applyAlignment="1">
      <alignment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39" fillId="0" borderId="0" xfId="4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1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1" fillId="12" borderId="14" xfId="0" applyFont="1" applyFill="1" applyBorder="1" applyAlignment="1">
      <alignment horizontal="center" vertical="center"/>
    </xf>
    <xf numFmtId="0" fontId="21" fillId="12" borderId="16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1" fillId="8" borderId="7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39" xfId="0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0" fontId="21" fillId="8" borderId="35" xfId="0" applyFont="1" applyFill="1" applyBorder="1" applyAlignment="1">
      <alignment horizontal="center" vertical="center"/>
    </xf>
    <xf numFmtId="0" fontId="21" fillId="8" borderId="40" xfId="0" applyFont="1" applyFill="1" applyBorder="1" applyAlignment="1">
      <alignment horizontal="center" vertical="center"/>
    </xf>
    <xf numFmtId="0" fontId="21" fillId="12" borderId="39" xfId="0" applyFont="1" applyFill="1" applyBorder="1" applyAlignment="1">
      <alignment horizontal="center" vertical="center"/>
    </xf>
    <xf numFmtId="0" fontId="21" fillId="12" borderId="35" xfId="0" applyFont="1" applyFill="1" applyBorder="1" applyAlignment="1">
      <alignment horizontal="center" vertical="center"/>
    </xf>
    <xf numFmtId="0" fontId="21" fillId="12" borderId="40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1" fillId="12" borderId="17" xfId="0" applyFont="1" applyFill="1" applyBorder="1" applyAlignment="1">
      <alignment horizontal="center" vertical="center"/>
    </xf>
    <xf numFmtId="0" fontId="21" fillId="12" borderId="7" xfId="0" applyFont="1" applyFill="1" applyBorder="1" applyAlignment="1">
      <alignment horizontal="center" vertical="center"/>
    </xf>
    <xf numFmtId="0" fontId="21" fillId="8" borderId="15" xfId="0" applyFont="1" applyFill="1" applyBorder="1" applyAlignment="1">
      <alignment horizontal="center" vertical="center"/>
    </xf>
    <xf numFmtId="0" fontId="21" fillId="8" borderId="27" xfId="0" applyFont="1" applyFill="1" applyBorder="1" applyAlignment="1">
      <alignment horizontal="center" vertical="center"/>
    </xf>
    <xf numFmtId="0" fontId="21" fillId="12" borderId="8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5">
    <cellStyle name="Гиперссылка" xfId="4" builtinId="8"/>
    <cellStyle name="Обычный" xfId="0" builtinId="0"/>
    <cellStyle name="Обычный 2" xfId="2" xr:uid="{421BF4C8-4393-4CF7-9004-4D25399943B8}"/>
    <cellStyle name="Обычный 3" xfId="3" xr:uid="{56D89429-92D3-4653-9A72-3D1CCD787FD0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75-4918-9E21-11EE5A808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975-4918-9E21-11EE5A8081F3}"/>
              </c:ext>
            </c:extLst>
          </c:dPt>
          <c:dLbls>
            <c:dLbl>
              <c:idx val="0"/>
              <c:layout>
                <c:manualLayout>
                  <c:x val="-0.10169491525423739"/>
                  <c:y val="-1.75208035399197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975-4918-9E21-11EE5A8081F3}"/>
                </c:ext>
              </c:extLst>
            </c:dLbl>
            <c:dLbl>
              <c:idx val="1"/>
              <c:layout>
                <c:manualLayout>
                  <c:x val="0.10734463276836158"/>
                  <c:y val="1.05124821239518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975-4918-9E21-11EE5A808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'Интерфейс самосвалы done'!$Z$8:$AA$8</c:f>
              <c:strCache>
                <c:ptCount val="2"/>
                <c:pt idx="0">
                  <c:v>КИП, %</c:v>
                </c:pt>
                <c:pt idx="1">
                  <c:v>В движении,%</c:v>
                </c:pt>
              </c:strCache>
            </c:strRef>
          </c:cat>
          <c:val>
            <c:numRef>
              <c:f>'Интерфейс самосвалы done'!$Z$9:$AA$9</c:f>
              <c:numCache>
                <c:formatCode>General</c:formatCode>
                <c:ptCount val="2"/>
                <c:pt idx="0">
                  <c:v>78</c:v>
                </c:pt>
                <c:pt idx="1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5-4918-9E21-11EE5A808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C3-4B28-B5C8-792A1E958F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C3-4B28-B5C8-792A1E958FBF}"/>
              </c:ext>
            </c:extLst>
          </c:dPt>
          <c:dLbls>
            <c:dLbl>
              <c:idx val="0"/>
              <c:layout>
                <c:manualLayout>
                  <c:x val="-0.10734463276836158"/>
                  <c:y val="-2.80332856638715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1C3-4B28-B5C8-792A1E958FBF}"/>
                </c:ext>
              </c:extLst>
            </c:dLbl>
            <c:dLbl>
              <c:idx val="1"/>
              <c:layout>
                <c:manualLayout>
                  <c:x val="0.12429378531073447"/>
                  <c:y val="2.10249642479036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1C3-4B28-B5C8-792A1E958F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'Интерфейс самосвалы done'!$AC$8:$AD$8</c:f>
              <c:strCache>
                <c:ptCount val="2"/>
                <c:pt idx="0">
                  <c:v>КИП, %</c:v>
                </c:pt>
                <c:pt idx="1">
                  <c:v>В движении,%</c:v>
                </c:pt>
              </c:strCache>
            </c:strRef>
          </c:cat>
          <c:val>
            <c:numRef>
              <c:f>'Интерфейс самосвалы done'!$AC$9:$AD$9</c:f>
              <c:numCache>
                <c:formatCode>General</c:formatCode>
                <c:ptCount val="2"/>
                <c:pt idx="0">
                  <c:v>52</c:v>
                </c:pt>
                <c:pt idx="1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C3-4B28-B5C8-792A1E958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4219575</xdr:colOff>
      <xdr:row>19</xdr:row>
      <xdr:rowOff>47625</xdr:rowOff>
    </xdr:from>
    <xdr:to>
      <xdr:col>0</xdr:col>
      <xdr:colOff>7201316</xdr:colOff>
      <xdr:row>19</xdr:row>
      <xdr:rowOff>600152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8407E71-51FD-F929-6C31-558B1D08D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575" y="4048125"/>
          <a:ext cx="2981741" cy="552527"/>
        </a:xfrm>
        <a:prstGeom prst="rect">
          <a:avLst/>
        </a:prstGeom>
      </xdr:spPr>
    </xdr:pic>
    <xdr:clientData/>
  </xdr:twoCellAnchor>
  <xdr:twoCellAnchor editAs="oneCell">
    <xdr:from>
      <xdr:col>0</xdr:col>
      <xdr:colOff>6515100</xdr:colOff>
      <xdr:row>19</xdr:row>
      <xdr:rowOff>104775</xdr:rowOff>
    </xdr:from>
    <xdr:to>
      <xdr:col>0</xdr:col>
      <xdr:colOff>7048574</xdr:colOff>
      <xdr:row>19</xdr:row>
      <xdr:rowOff>323881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533701E-F50B-5726-FF6E-E880936F5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15100" y="4105275"/>
          <a:ext cx="533474" cy="219106"/>
        </a:xfrm>
        <a:prstGeom prst="rect">
          <a:avLst/>
        </a:prstGeom>
      </xdr:spPr>
    </xdr:pic>
    <xdr:clientData/>
  </xdr:twoCellAnchor>
  <xdr:twoCellAnchor editAs="oneCell">
    <xdr:from>
      <xdr:col>0</xdr:col>
      <xdr:colOff>5219700</xdr:colOff>
      <xdr:row>19</xdr:row>
      <xdr:rowOff>342900</xdr:rowOff>
    </xdr:from>
    <xdr:to>
      <xdr:col>0</xdr:col>
      <xdr:colOff>6086596</xdr:colOff>
      <xdr:row>19</xdr:row>
      <xdr:rowOff>552479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E7C947F1-357C-C391-7DE8-CDA0EB1EC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9700" y="4343400"/>
          <a:ext cx="866896" cy="209579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3657601</xdr:colOff>
      <xdr:row>4</xdr:row>
      <xdr:rowOff>1</xdr:rowOff>
    </xdr:from>
    <xdr:to>
      <xdr:col>0</xdr:col>
      <xdr:colOff>4800601</xdr:colOff>
      <xdr:row>4</xdr:row>
      <xdr:rowOff>1089661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A504142-0FF2-4820-649B-EF10B892B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57601" y="762001"/>
          <a:ext cx="1143000" cy="10896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</xdr:colOff>
      <xdr:row>6</xdr:row>
      <xdr:rowOff>4761</xdr:rowOff>
    </xdr:from>
    <xdr:to>
      <xdr:col>27</xdr:col>
      <xdr:colOff>19051</xdr:colOff>
      <xdr:row>24</xdr:row>
      <xdr:rowOff>200024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9CFA029-E480-9437-2047-7EF1A1D26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57150</xdr:colOff>
      <xdr:row>6</xdr:row>
      <xdr:rowOff>9525</xdr:rowOff>
    </xdr:from>
    <xdr:to>
      <xdr:col>30</xdr:col>
      <xdr:colOff>9525</xdr:colOff>
      <xdr:row>25</xdr:row>
      <xdr:rowOff>4763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E0326D6-678A-457C-AFDD-32EDC236A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ksandr.knyazhev\Downloads\&#1044;&#1080;&#1089;&#1087;&#1086;&#1079;&#1080;&#1094;&#1080;&#1103;%20&#1090;&#1077;&#1093;&#1085;&#1080;&#1082;&#1080;%20&#1089;%20&#1074;&#1099;&#1088;&#1072;&#1073;&#1086;&#1090;&#1082;&#1086;&#1081;%20(&#1071;&#1085;&#1076;&#1077;&#1082;&#1089;)%20(38).xlsx" TargetMode="External"/><Relationship Id="rId1" Type="http://schemas.openxmlformats.org/officeDocument/2006/relationships/externalLinkPath" Target="/Users/aleksandr.knyazhev/Downloads/&#1044;&#1080;&#1089;&#1087;&#1086;&#1079;&#1080;&#1094;&#1080;&#1103;%20&#1090;&#1077;&#1093;&#1085;&#1080;&#1082;&#1080;%20&#1089;%20&#1074;&#1099;&#1088;&#1072;&#1073;&#1086;&#1090;&#1082;&#1086;&#1081;%20(&#1071;&#1085;&#1076;&#1077;&#1082;&#1089;)%20(3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Филиал"/>
      <sheetName val="Объект строительства"/>
      <sheetName val="Сводная по МиМ"/>
      <sheetName val="Период с 11.02 по 17.02"/>
      <sheetName val="Стягачи"/>
      <sheetName val="АвтобусыБортовые МС11"/>
      <sheetName val="АБСАБН МС11"/>
      <sheetName val="ДСТ  МС11 "/>
      <sheetName val="МС 11 Краны (новаяновая)"/>
      <sheetName val="Малая механизация МС11"/>
      <sheetName val="Спецтехника МС11"/>
      <sheetName val="Самосвалы"/>
      <sheetName val="Лист1"/>
      <sheetName val="Диспозиция ОГТР и МС11"/>
      <sheetName val="ВЕЗДЕХОДЫ"/>
      <sheetName val="Тестовая диспозиция"/>
      <sheetName val="Рейсы самосвалов Сургут"/>
      <sheetName val="Сводная по технике"/>
      <sheetName val="ДСТ  МС11  (архив)"/>
      <sheetName val="МС 11 Краны (новая)"/>
      <sheetName val="Обь (Мусалиев)"/>
      <sheetName val="ДСТ МС11"/>
      <sheetName val="Автобусы"/>
      <sheetName val="МС 11 Краны (Тест)"/>
      <sheetName val="Краны МС11"/>
      <sheetName val="Период 1 день"/>
      <sheetName val="Простои  Хол Ход NEW"/>
      <sheetName val="ДСТ (НАЙМ)"/>
      <sheetName val="ДСУ"/>
      <sheetName val="Дружба "/>
      <sheetName val="Простои  Хол Ход"/>
      <sheetName val="АТЗ"/>
      <sheetName val="СПЕЦТЕХНИКА (найм)"/>
      <sheetName val="Буровое МС11 (обновлено 17.01.2"/>
      <sheetName val="Малая мех."/>
      <sheetName val="ДСТ"/>
      <sheetName val="АГП,Спецтранспорт"/>
    </sheetNames>
    <sheetDataSet>
      <sheetData sheetId="0">
        <row r="1">
          <cell r="A1" t="str">
            <v>гос.№</v>
          </cell>
          <cell r="B1" t="str">
            <v>филиал</v>
          </cell>
        </row>
        <row r="2">
          <cell r="A2" t="str">
            <v>В123ОН72</v>
          </cell>
          <cell r="B2" t="str">
            <v>ДСУ</v>
          </cell>
        </row>
        <row r="3">
          <cell r="A3" t="str">
            <v>В123ОН720</v>
          </cell>
          <cell r="B3" t="str">
            <v>ДСУ</v>
          </cell>
        </row>
        <row r="4">
          <cell r="A4" t="str">
            <v>В677ОН72</v>
          </cell>
          <cell r="B4" t="str">
            <v>ДСУ</v>
          </cell>
        </row>
        <row r="5">
          <cell r="A5" t="str">
            <v>В683ОН72</v>
          </cell>
          <cell r="B5" t="str">
            <v>ДСУ</v>
          </cell>
        </row>
        <row r="6">
          <cell r="A6" t="str">
            <v>В684ОН72</v>
          </cell>
          <cell r="B6" t="str">
            <v>ДСУ</v>
          </cell>
        </row>
        <row r="7">
          <cell r="A7" t="str">
            <v>В829ОН72</v>
          </cell>
          <cell r="B7" t="str">
            <v>ДСУ</v>
          </cell>
        </row>
        <row r="8">
          <cell r="A8" t="str">
            <v>К044РА86</v>
          </cell>
          <cell r="B8" t="str">
            <v>ДСУ</v>
          </cell>
        </row>
        <row r="9">
          <cell r="A9" t="str">
            <v>К894ХТ72</v>
          </cell>
          <cell r="B9" t="str">
            <v>ДСУ</v>
          </cell>
        </row>
        <row r="10">
          <cell r="A10" t="str">
            <v>Н476МХ72</v>
          </cell>
          <cell r="B10" t="str">
            <v>ДСУ</v>
          </cell>
        </row>
        <row r="11">
          <cell r="A11" t="str">
            <v>О154ЕР72</v>
          </cell>
          <cell r="B11" t="str">
            <v>ДСУ</v>
          </cell>
        </row>
        <row r="12">
          <cell r="A12" t="str">
            <v>О156ЕР72</v>
          </cell>
          <cell r="B12" t="str">
            <v>ДСУ</v>
          </cell>
        </row>
        <row r="13">
          <cell r="A13" t="str">
            <v>О583РР72</v>
          </cell>
          <cell r="B13" t="str">
            <v>ДСУ</v>
          </cell>
        </row>
        <row r="14">
          <cell r="A14" t="str">
            <v>Р045МН72</v>
          </cell>
          <cell r="B14" t="str">
            <v>ДСУ</v>
          </cell>
        </row>
        <row r="15">
          <cell r="A15" t="str">
            <v>Р169УУ72</v>
          </cell>
          <cell r="B15" t="str">
            <v>ДСУ</v>
          </cell>
        </row>
        <row r="16">
          <cell r="A16" t="str">
            <v>Р197МЕ86</v>
          </cell>
          <cell r="B16" t="str">
            <v>ДСУ</v>
          </cell>
        </row>
        <row r="17">
          <cell r="A17" t="str">
            <v>Р369РТ72</v>
          </cell>
          <cell r="B17" t="str">
            <v>ДСУ</v>
          </cell>
        </row>
        <row r="18">
          <cell r="A18" t="str">
            <v>Р509УК72</v>
          </cell>
          <cell r="B18" t="str">
            <v>ДСУ</v>
          </cell>
        </row>
        <row r="19">
          <cell r="A19" t="str">
            <v>Р715УК72</v>
          </cell>
          <cell r="B19" t="str">
            <v>ДСУ</v>
          </cell>
        </row>
        <row r="20">
          <cell r="A20" t="str">
            <v>Р782НЕ72</v>
          </cell>
          <cell r="B20" t="str">
            <v>ДСУ</v>
          </cell>
        </row>
        <row r="21">
          <cell r="A21" t="str">
            <v>Р904КР72</v>
          </cell>
          <cell r="B21" t="str">
            <v>ДСУ</v>
          </cell>
        </row>
        <row r="22">
          <cell r="A22" t="str">
            <v>С011СВ72</v>
          </cell>
          <cell r="B22" t="str">
            <v>ДСУ</v>
          </cell>
        </row>
        <row r="23">
          <cell r="A23" t="str">
            <v>С045УА72</v>
          </cell>
          <cell r="B23" t="str">
            <v>ДСУ</v>
          </cell>
        </row>
        <row r="24">
          <cell r="A24" t="str">
            <v>С066УА72</v>
          </cell>
          <cell r="B24" t="str">
            <v>ДСУ</v>
          </cell>
        </row>
        <row r="25">
          <cell r="A25" t="str">
            <v>С106ТМ72</v>
          </cell>
          <cell r="B25" t="str">
            <v>ДСУ</v>
          </cell>
        </row>
        <row r="26">
          <cell r="A26" t="str">
            <v>С151РТ72</v>
          </cell>
          <cell r="B26" t="str">
            <v>ДСУ</v>
          </cell>
        </row>
        <row r="27">
          <cell r="A27" t="str">
            <v>С160УО72</v>
          </cell>
          <cell r="B27" t="str">
            <v>ДСУ</v>
          </cell>
        </row>
        <row r="28">
          <cell r="A28" t="str">
            <v>С231УА72</v>
          </cell>
          <cell r="B28" t="str">
            <v>ДСУ</v>
          </cell>
        </row>
        <row r="29">
          <cell r="A29" t="str">
            <v>С688УЕ72</v>
          </cell>
          <cell r="B29" t="str">
            <v>ДСУ</v>
          </cell>
        </row>
        <row r="30">
          <cell r="A30" t="str">
            <v>С903ЕО72</v>
          </cell>
          <cell r="B30" t="str">
            <v>ДСУ</v>
          </cell>
        </row>
        <row r="31">
          <cell r="A31" t="str">
            <v>С972ХТ72</v>
          </cell>
          <cell r="B31" t="str">
            <v>ДСУ</v>
          </cell>
        </row>
        <row r="32">
          <cell r="A32" t="str">
            <v>С989УО72</v>
          </cell>
          <cell r="B32" t="str">
            <v>ДСУ</v>
          </cell>
        </row>
        <row r="33">
          <cell r="A33" t="str">
            <v>С999ХТ72</v>
          </cell>
          <cell r="B33" t="str">
            <v>ДСУ</v>
          </cell>
        </row>
        <row r="34">
          <cell r="A34" t="str">
            <v>Т147РН72</v>
          </cell>
          <cell r="B34" t="str">
            <v>ДСУ</v>
          </cell>
        </row>
        <row r="35">
          <cell r="A35" t="str">
            <v>Т482КН72</v>
          </cell>
          <cell r="B35" t="str">
            <v>ДСУ</v>
          </cell>
        </row>
        <row r="36">
          <cell r="A36" t="str">
            <v>Т653КН72</v>
          </cell>
          <cell r="B36" t="str">
            <v>ДСУ</v>
          </cell>
        </row>
        <row r="37">
          <cell r="A37" t="str">
            <v>Т829МТ72</v>
          </cell>
          <cell r="B37" t="str">
            <v>ДСУ</v>
          </cell>
        </row>
        <row r="38">
          <cell r="A38" t="str">
            <v>Т831СВ72</v>
          </cell>
          <cell r="B38" t="str">
            <v>ДСУ</v>
          </cell>
        </row>
        <row r="39">
          <cell r="A39" t="str">
            <v>Т951РХ72</v>
          </cell>
          <cell r="B39" t="str">
            <v>ДСУ</v>
          </cell>
        </row>
        <row r="40">
          <cell r="A40" t="str">
            <v>Т972ММ72</v>
          </cell>
          <cell r="B40" t="str">
            <v>ДСУ</v>
          </cell>
        </row>
        <row r="41">
          <cell r="A41" t="str">
            <v>У531ОХ72</v>
          </cell>
          <cell r="B41" t="str">
            <v>ДСУ</v>
          </cell>
        </row>
        <row r="42">
          <cell r="A42" t="str">
            <v>Х487РС96</v>
          </cell>
          <cell r="B42" t="str">
            <v>ДСУ</v>
          </cell>
        </row>
        <row r="43">
          <cell r="A43" t="str">
            <v>0208ОА72</v>
          </cell>
          <cell r="B43" t="str">
            <v>ДСУ</v>
          </cell>
        </row>
        <row r="44">
          <cell r="A44" t="str">
            <v>0321ОА72</v>
          </cell>
          <cell r="B44" t="str">
            <v>ДСУ</v>
          </cell>
        </row>
        <row r="45">
          <cell r="A45" t="str">
            <v>0375ТА72</v>
          </cell>
          <cell r="B45" t="str">
            <v>ДСУ</v>
          </cell>
        </row>
        <row r="46">
          <cell r="A46" t="str">
            <v>0378ТА72</v>
          </cell>
          <cell r="B46" t="str">
            <v>ДСУ</v>
          </cell>
        </row>
        <row r="47">
          <cell r="A47" t="str">
            <v>0379ТА72</v>
          </cell>
          <cell r="B47" t="str">
            <v>ДСУ</v>
          </cell>
        </row>
        <row r="48">
          <cell r="A48" t="str">
            <v>0380ТА72</v>
          </cell>
          <cell r="B48" t="str">
            <v>ДСУ</v>
          </cell>
        </row>
        <row r="49">
          <cell r="A49" t="str">
            <v>0383ТА72</v>
          </cell>
          <cell r="B49" t="str">
            <v>ДСУ</v>
          </cell>
        </row>
        <row r="50">
          <cell r="A50" t="str">
            <v>0385ТА72</v>
          </cell>
          <cell r="B50" t="str">
            <v>ДСУ</v>
          </cell>
        </row>
        <row r="51">
          <cell r="A51" t="str">
            <v>1372ТО72</v>
          </cell>
          <cell r="B51" t="str">
            <v>ДСУ</v>
          </cell>
        </row>
        <row r="52">
          <cell r="A52" t="str">
            <v>1701ОВ72</v>
          </cell>
          <cell r="B52" t="str">
            <v>ДСУ</v>
          </cell>
        </row>
        <row r="53">
          <cell r="A53" t="str">
            <v>1702ОВ72</v>
          </cell>
          <cell r="B53" t="str">
            <v>ДСУ</v>
          </cell>
        </row>
        <row r="54">
          <cell r="A54" t="str">
            <v>1717ОВ72</v>
          </cell>
          <cell r="B54" t="str">
            <v>ДСУ</v>
          </cell>
        </row>
        <row r="55">
          <cell r="A55">
            <v>186</v>
          </cell>
          <cell r="B55" t="str">
            <v>ДСУ</v>
          </cell>
        </row>
        <row r="56">
          <cell r="A56" t="str">
            <v>3191ОА72</v>
          </cell>
          <cell r="B56" t="str">
            <v>ДСУ</v>
          </cell>
        </row>
        <row r="57">
          <cell r="A57" t="str">
            <v>4845ТО72</v>
          </cell>
          <cell r="B57" t="str">
            <v>ДСУ</v>
          </cell>
        </row>
        <row r="58">
          <cell r="A58" t="str">
            <v>5785ТК72</v>
          </cell>
          <cell r="B58" t="str">
            <v>ДСУ</v>
          </cell>
        </row>
        <row r="59">
          <cell r="A59" t="str">
            <v>6311ОВ72</v>
          </cell>
          <cell r="B59" t="str">
            <v>ДСУ</v>
          </cell>
        </row>
        <row r="60">
          <cell r="A60" t="str">
            <v>6513ОА72</v>
          </cell>
          <cell r="B60" t="str">
            <v>ДСУ</v>
          </cell>
        </row>
        <row r="61">
          <cell r="A61" t="str">
            <v>6645ТА72</v>
          </cell>
          <cell r="B61" t="str">
            <v>ДСУ</v>
          </cell>
        </row>
        <row r="62">
          <cell r="A62" t="str">
            <v>8874ОВ72</v>
          </cell>
          <cell r="B62" t="str">
            <v>ДСУ</v>
          </cell>
        </row>
        <row r="63">
          <cell r="A63" t="str">
            <v>6980ОА72</v>
          </cell>
          <cell r="B63" t="str">
            <v>ДСУ</v>
          </cell>
        </row>
        <row r="64">
          <cell r="A64" t="str">
            <v>6981ОА72</v>
          </cell>
          <cell r="B64" t="str">
            <v>ДСУ</v>
          </cell>
        </row>
        <row r="65">
          <cell r="A65" t="str">
            <v>6982ОА72</v>
          </cell>
          <cell r="B65" t="str">
            <v>ДСУ</v>
          </cell>
        </row>
        <row r="66">
          <cell r="A66" t="str">
            <v>6983ОА72</v>
          </cell>
          <cell r="B66" t="str">
            <v>ДСУ</v>
          </cell>
        </row>
        <row r="67">
          <cell r="A67" t="str">
            <v>6986ОА72</v>
          </cell>
          <cell r="B67" t="str">
            <v>ДСУ</v>
          </cell>
        </row>
        <row r="68">
          <cell r="A68" t="str">
            <v>6987ОА72</v>
          </cell>
          <cell r="B68" t="str">
            <v>ДСУ</v>
          </cell>
        </row>
        <row r="69">
          <cell r="A69" t="str">
            <v>7045ОА72</v>
          </cell>
          <cell r="B69" t="str">
            <v>ДСУ</v>
          </cell>
        </row>
        <row r="70">
          <cell r="A70" t="str">
            <v>7181ТО72</v>
          </cell>
          <cell r="B70" t="str">
            <v>ДСУ</v>
          </cell>
        </row>
        <row r="71">
          <cell r="A71" t="str">
            <v>7368ОВ72</v>
          </cell>
          <cell r="B71" t="str">
            <v>ДСУ</v>
          </cell>
        </row>
        <row r="72">
          <cell r="A72" t="str">
            <v>7500ОВ72</v>
          </cell>
          <cell r="B72" t="str">
            <v>ДСУ</v>
          </cell>
        </row>
        <row r="73">
          <cell r="A73" t="str">
            <v>7501ОВ72</v>
          </cell>
          <cell r="B73" t="str">
            <v>ДСУ</v>
          </cell>
        </row>
        <row r="74">
          <cell r="A74" t="str">
            <v>7586ОВ72</v>
          </cell>
          <cell r="B74" t="str">
            <v>ДСУ</v>
          </cell>
        </row>
        <row r="75">
          <cell r="A75" t="str">
            <v>7589ОВ72</v>
          </cell>
          <cell r="B75" t="str">
            <v>ДСУ</v>
          </cell>
        </row>
        <row r="76">
          <cell r="A76" t="str">
            <v>7807ОА72</v>
          </cell>
          <cell r="B76" t="str">
            <v>ДСУ</v>
          </cell>
        </row>
        <row r="77">
          <cell r="A77" t="str">
            <v>7893ОА72</v>
          </cell>
          <cell r="B77" t="str">
            <v>ДСУ</v>
          </cell>
        </row>
        <row r="78">
          <cell r="A78" t="str">
            <v>7894ОА72</v>
          </cell>
          <cell r="B78" t="str">
            <v>ДСУ</v>
          </cell>
        </row>
        <row r="79">
          <cell r="A79" t="str">
            <v>8023ОА72</v>
          </cell>
          <cell r="B79" t="str">
            <v>ДСУ</v>
          </cell>
        </row>
        <row r="80">
          <cell r="A80">
            <v>81004</v>
          </cell>
          <cell r="B80" t="str">
            <v>ДСУ</v>
          </cell>
        </row>
        <row r="81">
          <cell r="A81">
            <v>81053</v>
          </cell>
          <cell r="B81" t="str">
            <v>ДСУ</v>
          </cell>
        </row>
        <row r="82">
          <cell r="A82" t="str">
            <v>8617ТО72</v>
          </cell>
          <cell r="B82" t="str">
            <v>ДСУ</v>
          </cell>
        </row>
        <row r="83">
          <cell r="A83" t="str">
            <v>8805ТУ72</v>
          </cell>
          <cell r="B83" t="str">
            <v>ДСУ</v>
          </cell>
        </row>
        <row r="84">
          <cell r="A84" t="str">
            <v>8824ОА72</v>
          </cell>
          <cell r="B84" t="str">
            <v>ДСУ</v>
          </cell>
        </row>
        <row r="85">
          <cell r="A85" t="str">
            <v>8825ОА72</v>
          </cell>
          <cell r="B85" t="str">
            <v>ДСУ</v>
          </cell>
        </row>
        <row r="86">
          <cell r="A86" t="str">
            <v>8826ОА72</v>
          </cell>
          <cell r="B86" t="str">
            <v>ДСУ</v>
          </cell>
        </row>
        <row r="87">
          <cell r="A87" t="str">
            <v>8827ОА72</v>
          </cell>
          <cell r="B87" t="str">
            <v>ДСУ</v>
          </cell>
        </row>
        <row r="88">
          <cell r="A88" t="str">
            <v>8828ОА72</v>
          </cell>
          <cell r="B88" t="str">
            <v>ДСУ</v>
          </cell>
        </row>
        <row r="89">
          <cell r="A89" t="str">
            <v>8931ОВ72</v>
          </cell>
          <cell r="B89" t="str">
            <v>ДСУ</v>
          </cell>
        </row>
        <row r="90">
          <cell r="A90" t="str">
            <v>8932ОВ72</v>
          </cell>
          <cell r="B90" t="str">
            <v>ДСУ</v>
          </cell>
        </row>
        <row r="91">
          <cell r="A91" t="str">
            <v>9010ОВ72</v>
          </cell>
          <cell r="B91" t="str">
            <v>ДСУ</v>
          </cell>
        </row>
        <row r="92">
          <cell r="A92" t="str">
            <v>9271ТО72</v>
          </cell>
          <cell r="B92" t="str">
            <v>ДСУ</v>
          </cell>
        </row>
        <row r="93">
          <cell r="A93" t="str">
            <v>9304ТУ72</v>
          </cell>
          <cell r="B93" t="str">
            <v>ДСУ</v>
          </cell>
        </row>
        <row r="94">
          <cell r="A94" t="str">
            <v>9457ТО72</v>
          </cell>
          <cell r="B94" t="str">
            <v>ДСУ</v>
          </cell>
        </row>
        <row r="95">
          <cell r="A95" t="str">
            <v>9460ТО72</v>
          </cell>
          <cell r="B95" t="str">
            <v>ДСУ</v>
          </cell>
        </row>
        <row r="96">
          <cell r="A96" t="str">
            <v>9477ТО72</v>
          </cell>
          <cell r="B96" t="str">
            <v>ДСУ</v>
          </cell>
        </row>
        <row r="97">
          <cell r="A97" t="str">
            <v>АН94572</v>
          </cell>
          <cell r="B97" t="str">
            <v>МО-15</v>
          </cell>
        </row>
        <row r="98">
          <cell r="A98" t="str">
            <v>А146НС86</v>
          </cell>
          <cell r="B98" t="str">
            <v>МО-15</v>
          </cell>
        </row>
        <row r="99">
          <cell r="A99" t="str">
            <v>А679НЕ186</v>
          </cell>
          <cell r="B99" t="str">
            <v>МО-15</v>
          </cell>
        </row>
        <row r="100">
          <cell r="A100" t="str">
            <v>В015ХН86</v>
          </cell>
          <cell r="B100" t="str">
            <v>МО-15</v>
          </cell>
        </row>
        <row r="101">
          <cell r="A101" t="str">
            <v>В061ОН72</v>
          </cell>
          <cell r="B101" t="str">
            <v>МО-15</v>
          </cell>
        </row>
        <row r="102">
          <cell r="A102" t="str">
            <v>В147ЕМ797</v>
          </cell>
          <cell r="B102" t="str">
            <v>МО-15</v>
          </cell>
        </row>
        <row r="103">
          <cell r="A103" t="str">
            <v>В472ХН86</v>
          </cell>
          <cell r="B103" t="str">
            <v>МО-15</v>
          </cell>
        </row>
        <row r="104">
          <cell r="A104" t="str">
            <v>В611УК86</v>
          </cell>
          <cell r="B104" t="str">
            <v>МО-15</v>
          </cell>
        </row>
        <row r="105">
          <cell r="A105" t="str">
            <v>В649ХС86</v>
          </cell>
          <cell r="B105" t="str">
            <v>МО-15</v>
          </cell>
        </row>
        <row r="106">
          <cell r="A106" t="str">
            <v>В653ХН86</v>
          </cell>
          <cell r="B106" t="str">
            <v>МО-15</v>
          </cell>
        </row>
        <row r="107">
          <cell r="A107" t="str">
            <v>В654ХН86</v>
          </cell>
          <cell r="B107" t="str">
            <v>МО-15</v>
          </cell>
        </row>
        <row r="108">
          <cell r="A108" t="str">
            <v>В912ЕР790</v>
          </cell>
          <cell r="B108" t="str">
            <v>МО-15</v>
          </cell>
        </row>
        <row r="109">
          <cell r="A109" t="str">
            <v>В940РА86</v>
          </cell>
          <cell r="B109" t="str">
            <v>МО-15</v>
          </cell>
        </row>
        <row r="110">
          <cell r="A110" t="str">
            <v>Е897УТ750</v>
          </cell>
          <cell r="B110" t="str">
            <v>МО-15</v>
          </cell>
        </row>
        <row r="111">
          <cell r="A111" t="str">
            <v>Е969СВ86</v>
          </cell>
          <cell r="B111" t="str">
            <v>МО-15</v>
          </cell>
        </row>
        <row r="112">
          <cell r="A112" t="str">
            <v>К106ТМ86</v>
          </cell>
          <cell r="B112" t="str">
            <v>МО-15</v>
          </cell>
        </row>
        <row r="113">
          <cell r="A113" t="str">
            <v>К119ТХ750</v>
          </cell>
          <cell r="B113" t="str">
            <v>МО-15</v>
          </cell>
        </row>
        <row r="114">
          <cell r="A114" t="str">
            <v>К319ТХ750</v>
          </cell>
          <cell r="B114" t="str">
            <v>МО-15</v>
          </cell>
        </row>
        <row r="115">
          <cell r="A115" t="str">
            <v>К356ТХ750</v>
          </cell>
          <cell r="B115" t="str">
            <v>МО-15</v>
          </cell>
        </row>
        <row r="116">
          <cell r="A116" t="str">
            <v>К460АА186</v>
          </cell>
          <cell r="B116" t="str">
            <v>МО-15</v>
          </cell>
        </row>
        <row r="117">
          <cell r="A117" t="str">
            <v>К538АА186</v>
          </cell>
          <cell r="B117" t="str">
            <v>МО-15</v>
          </cell>
        </row>
        <row r="118">
          <cell r="A118" t="str">
            <v>К539АА186</v>
          </cell>
          <cell r="B118" t="str">
            <v>МО-15</v>
          </cell>
        </row>
        <row r="119">
          <cell r="A119" t="str">
            <v>К568СТ86</v>
          </cell>
          <cell r="B119" t="str">
            <v>МО-15</v>
          </cell>
        </row>
        <row r="120">
          <cell r="A120" t="str">
            <v>К648АА186</v>
          </cell>
          <cell r="B120" t="str">
            <v>МО-15</v>
          </cell>
        </row>
        <row r="121">
          <cell r="A121" t="str">
            <v>К876АА186</v>
          </cell>
          <cell r="B121" t="str">
            <v>МО-15</v>
          </cell>
        </row>
        <row r="122">
          <cell r="A122" t="str">
            <v>М284ХС750</v>
          </cell>
          <cell r="B122" t="str">
            <v>МО-15</v>
          </cell>
        </row>
        <row r="123">
          <cell r="A123" t="str">
            <v>М342ХС750</v>
          </cell>
          <cell r="B123" t="str">
            <v>МО-15</v>
          </cell>
        </row>
        <row r="124">
          <cell r="A124" t="str">
            <v>М402ХС750</v>
          </cell>
          <cell r="B124" t="str">
            <v>МО-15</v>
          </cell>
        </row>
        <row r="125">
          <cell r="A125" t="str">
            <v>М859ВР797</v>
          </cell>
          <cell r="B125" t="str">
            <v>МО-15</v>
          </cell>
        </row>
        <row r="126">
          <cell r="A126" t="str">
            <v>Н015УК777</v>
          </cell>
          <cell r="B126" t="str">
            <v>МО-15</v>
          </cell>
        </row>
        <row r="127">
          <cell r="A127" t="str">
            <v>Н207ХК750</v>
          </cell>
          <cell r="B127" t="str">
            <v>МО-15</v>
          </cell>
        </row>
        <row r="128">
          <cell r="A128" t="str">
            <v>Н885УУ72</v>
          </cell>
          <cell r="B128" t="str">
            <v>МО-15</v>
          </cell>
        </row>
        <row r="129">
          <cell r="A129" t="str">
            <v>Н916ХЕ750</v>
          </cell>
          <cell r="B129" t="str">
            <v>МО-15</v>
          </cell>
        </row>
        <row r="130">
          <cell r="A130" t="str">
            <v>О440ХА750</v>
          </cell>
          <cell r="B130" t="str">
            <v>МО-15</v>
          </cell>
        </row>
        <row r="131">
          <cell r="A131" t="str">
            <v>О460ТА750</v>
          </cell>
          <cell r="B131" t="str">
            <v>МО-15</v>
          </cell>
        </row>
        <row r="132">
          <cell r="A132" t="str">
            <v>О592АР790</v>
          </cell>
          <cell r="B132" t="str">
            <v>МО-15</v>
          </cell>
        </row>
        <row r="133">
          <cell r="A133" t="str">
            <v>Р399УО750</v>
          </cell>
          <cell r="B133" t="str">
            <v>МО-15</v>
          </cell>
        </row>
        <row r="134">
          <cell r="A134" t="str">
            <v>Т536УМ750</v>
          </cell>
          <cell r="B134" t="str">
            <v>МО-15</v>
          </cell>
        </row>
        <row r="135">
          <cell r="A135" t="str">
            <v>Т658АН186</v>
          </cell>
          <cell r="B135" t="str">
            <v>МО-15</v>
          </cell>
        </row>
        <row r="136">
          <cell r="A136" t="str">
            <v>Т688ЕЕ790</v>
          </cell>
          <cell r="B136" t="str">
            <v>МО-15</v>
          </cell>
        </row>
        <row r="137">
          <cell r="A137" t="str">
            <v>У154УС750</v>
          </cell>
          <cell r="B137" t="str">
            <v>МО-15</v>
          </cell>
        </row>
        <row r="138">
          <cell r="A138" t="str">
            <v>У210УС750</v>
          </cell>
          <cell r="B138" t="str">
            <v>МО-15</v>
          </cell>
        </row>
        <row r="139">
          <cell r="A139" t="str">
            <v>У272ТУ750</v>
          </cell>
          <cell r="B139" t="str">
            <v>МО-15</v>
          </cell>
        </row>
        <row r="140">
          <cell r="A140" t="str">
            <v>У334ТУ750</v>
          </cell>
          <cell r="B140" t="str">
            <v>МО-15</v>
          </cell>
        </row>
        <row r="141">
          <cell r="A141" t="str">
            <v>У388ТУ750</v>
          </cell>
          <cell r="B141" t="str">
            <v>МО-15</v>
          </cell>
        </row>
        <row r="142">
          <cell r="A142" t="str">
            <v>У513ЕВ790</v>
          </cell>
          <cell r="B142" t="str">
            <v>МО-15</v>
          </cell>
        </row>
        <row r="143">
          <cell r="A143" t="str">
            <v>У567ЕВ790</v>
          </cell>
          <cell r="B143" t="str">
            <v>МО-15</v>
          </cell>
        </row>
        <row r="144">
          <cell r="A144" t="str">
            <v>У693ЕТ86</v>
          </cell>
          <cell r="B144" t="str">
            <v>МО-15</v>
          </cell>
        </row>
        <row r="145">
          <cell r="A145" t="str">
            <v>Х359АА790</v>
          </cell>
          <cell r="B145" t="str">
            <v>МО-15</v>
          </cell>
        </row>
        <row r="146">
          <cell r="A146" t="str">
            <v>Х642ХС750</v>
          </cell>
          <cell r="B146" t="str">
            <v>МО-15</v>
          </cell>
        </row>
        <row r="147">
          <cell r="A147" t="str">
            <v>Х651ХС750</v>
          </cell>
          <cell r="B147" t="str">
            <v>МО-15</v>
          </cell>
        </row>
        <row r="148">
          <cell r="A148" t="str">
            <v>Х693ХС750</v>
          </cell>
          <cell r="B148" t="str">
            <v>МО-15</v>
          </cell>
        </row>
        <row r="149">
          <cell r="A149" t="str">
            <v>Х938ТА86</v>
          </cell>
          <cell r="B149" t="str">
            <v>МО-15</v>
          </cell>
        </row>
        <row r="150">
          <cell r="A150" t="str">
            <v>Х954ОЕ86</v>
          </cell>
          <cell r="B150" t="str">
            <v>МО-15</v>
          </cell>
        </row>
        <row r="151">
          <cell r="A151" t="str">
            <v>Х998ТА86</v>
          </cell>
          <cell r="B151" t="str">
            <v>МО-15</v>
          </cell>
        </row>
        <row r="152">
          <cell r="A152">
            <v>10010</v>
          </cell>
          <cell r="B152" t="str">
            <v>МО-15</v>
          </cell>
        </row>
        <row r="153">
          <cell r="A153">
            <v>1395</v>
          </cell>
          <cell r="B153" t="str">
            <v>МО-15</v>
          </cell>
        </row>
        <row r="154">
          <cell r="A154">
            <v>1508</v>
          </cell>
          <cell r="B154" t="str">
            <v>МО-15</v>
          </cell>
        </row>
        <row r="155">
          <cell r="A155">
            <v>1804</v>
          </cell>
          <cell r="B155" t="str">
            <v>МО-15</v>
          </cell>
        </row>
        <row r="156">
          <cell r="A156">
            <v>1907</v>
          </cell>
          <cell r="B156" t="str">
            <v>МО-15</v>
          </cell>
        </row>
        <row r="157">
          <cell r="A157">
            <v>1957</v>
          </cell>
          <cell r="B157" t="str">
            <v>МО-15</v>
          </cell>
        </row>
        <row r="158">
          <cell r="A158">
            <v>2043</v>
          </cell>
          <cell r="B158" t="str">
            <v>МО-15</v>
          </cell>
        </row>
        <row r="159">
          <cell r="A159">
            <v>2044</v>
          </cell>
          <cell r="B159" t="str">
            <v>МО-15</v>
          </cell>
        </row>
        <row r="160">
          <cell r="A160">
            <v>2048</v>
          </cell>
          <cell r="B160" t="str">
            <v>МО-15</v>
          </cell>
        </row>
        <row r="161">
          <cell r="A161">
            <v>2363</v>
          </cell>
          <cell r="B161" t="str">
            <v>МО-15</v>
          </cell>
        </row>
        <row r="162">
          <cell r="A162">
            <v>3292</v>
          </cell>
          <cell r="B162" t="str">
            <v>МО-15</v>
          </cell>
        </row>
        <row r="163">
          <cell r="A163">
            <v>3299</v>
          </cell>
          <cell r="B163" t="str">
            <v>МО-15</v>
          </cell>
        </row>
        <row r="164">
          <cell r="A164">
            <v>3300</v>
          </cell>
          <cell r="B164" t="str">
            <v>МО-15</v>
          </cell>
        </row>
        <row r="165">
          <cell r="A165">
            <v>3301</v>
          </cell>
          <cell r="B165" t="str">
            <v>МО-15</v>
          </cell>
        </row>
        <row r="166">
          <cell r="A166">
            <v>3302</v>
          </cell>
          <cell r="B166" t="str">
            <v>МО-15</v>
          </cell>
        </row>
        <row r="167">
          <cell r="A167">
            <v>3303</v>
          </cell>
          <cell r="B167" t="str">
            <v>МО-15</v>
          </cell>
        </row>
        <row r="168">
          <cell r="A168">
            <v>3362</v>
          </cell>
          <cell r="B168" t="str">
            <v>МО-15</v>
          </cell>
        </row>
        <row r="169">
          <cell r="A169" t="str">
            <v>3724ХЕ50</v>
          </cell>
          <cell r="B169" t="str">
            <v>МО-15</v>
          </cell>
        </row>
        <row r="170">
          <cell r="A170" t="str">
            <v>3725ХЕ50</v>
          </cell>
          <cell r="B170" t="str">
            <v>МО-15</v>
          </cell>
        </row>
        <row r="171">
          <cell r="A171" t="str">
            <v>3726ХЕ50</v>
          </cell>
          <cell r="B171" t="str">
            <v>МО-15</v>
          </cell>
        </row>
        <row r="172">
          <cell r="A172" t="str">
            <v>3727ХЕ50</v>
          </cell>
          <cell r="B172" t="str">
            <v>МО-15</v>
          </cell>
        </row>
        <row r="173">
          <cell r="A173" t="str">
            <v>3806ХО50</v>
          </cell>
          <cell r="B173" t="str">
            <v>МО-15</v>
          </cell>
        </row>
        <row r="174">
          <cell r="A174" t="str">
            <v>3993ХЕ50</v>
          </cell>
          <cell r="B174" t="str">
            <v>МО-15</v>
          </cell>
        </row>
        <row r="175">
          <cell r="A175">
            <v>6858</v>
          </cell>
          <cell r="B175" t="str">
            <v>МО-15</v>
          </cell>
        </row>
        <row r="176">
          <cell r="A176">
            <v>6859</v>
          </cell>
          <cell r="B176" t="str">
            <v>МО-15</v>
          </cell>
        </row>
        <row r="177">
          <cell r="A177">
            <v>81000</v>
          </cell>
          <cell r="B177" t="str">
            <v>МО-15</v>
          </cell>
        </row>
        <row r="178">
          <cell r="A178">
            <v>81001</v>
          </cell>
          <cell r="B178" t="str">
            <v>МО-15</v>
          </cell>
        </row>
        <row r="179">
          <cell r="A179" t="str">
            <v>8203ОВ72</v>
          </cell>
          <cell r="B179" t="str">
            <v>МО-15</v>
          </cell>
        </row>
        <row r="180">
          <cell r="A180" t="str">
            <v>8252НА86</v>
          </cell>
          <cell r="B180" t="str">
            <v>МО-15</v>
          </cell>
        </row>
        <row r="181">
          <cell r="A181" t="str">
            <v>8726ХР86</v>
          </cell>
          <cell r="B181" t="str">
            <v>МО-15</v>
          </cell>
        </row>
        <row r="182">
          <cell r="A182" t="str">
            <v>8736ХР86</v>
          </cell>
          <cell r="B182" t="str">
            <v>МО-15</v>
          </cell>
        </row>
        <row r="183">
          <cell r="A183" t="str">
            <v>8738ХР86</v>
          </cell>
          <cell r="B183" t="str">
            <v>МО-15</v>
          </cell>
        </row>
        <row r="184">
          <cell r="A184" t="str">
            <v>8742ХР86</v>
          </cell>
          <cell r="B184" t="str">
            <v>МО-15</v>
          </cell>
        </row>
        <row r="185">
          <cell r="A185" t="str">
            <v>8744ХР86</v>
          </cell>
          <cell r="B185" t="str">
            <v>МО-15</v>
          </cell>
        </row>
        <row r="186">
          <cell r="A186" t="str">
            <v>9723ХО50</v>
          </cell>
          <cell r="B186" t="str">
            <v>МО-15</v>
          </cell>
        </row>
        <row r="187">
          <cell r="A187" t="str">
            <v>9748ХО50</v>
          </cell>
          <cell r="B187" t="str">
            <v>МО-15</v>
          </cell>
        </row>
        <row r="188">
          <cell r="A188" t="str">
            <v>9831ХО50</v>
          </cell>
          <cell r="B188" t="str">
            <v>МО-15</v>
          </cell>
        </row>
        <row r="189">
          <cell r="A189" t="str">
            <v>А088АВ186</v>
          </cell>
          <cell r="B189" t="str">
            <v>МО-29</v>
          </cell>
        </row>
        <row r="190">
          <cell r="A190" t="str">
            <v>А239ЕУ186</v>
          </cell>
          <cell r="B190" t="str">
            <v>МО-29</v>
          </cell>
        </row>
        <row r="191">
          <cell r="A191" t="str">
            <v>А298ВТ186</v>
          </cell>
          <cell r="B191" t="str">
            <v>МО-29</v>
          </cell>
        </row>
        <row r="192">
          <cell r="A192" t="str">
            <v>А308ХЕ186</v>
          </cell>
          <cell r="B192" t="str">
            <v>МО-29</v>
          </cell>
        </row>
        <row r="193">
          <cell r="A193" t="str">
            <v>А343ВМ186</v>
          </cell>
          <cell r="B193" t="str">
            <v>МО-29</v>
          </cell>
        </row>
        <row r="194">
          <cell r="A194" t="str">
            <v>А412ЕЕ186</v>
          </cell>
          <cell r="B194" t="str">
            <v>МО-29</v>
          </cell>
        </row>
        <row r="195">
          <cell r="A195" t="str">
            <v>А859ОР86</v>
          </cell>
          <cell r="B195" t="str">
            <v>МО-29</v>
          </cell>
        </row>
        <row r="196">
          <cell r="A196" t="str">
            <v>ВА546872</v>
          </cell>
          <cell r="B196" t="str">
            <v>МО-29</v>
          </cell>
        </row>
        <row r="197">
          <cell r="A197" t="str">
            <v>В029АУ186</v>
          </cell>
          <cell r="B197" t="str">
            <v>МО-29</v>
          </cell>
        </row>
        <row r="198">
          <cell r="A198" t="str">
            <v>В142СЕ186</v>
          </cell>
          <cell r="B198" t="str">
            <v>МО-29</v>
          </cell>
        </row>
        <row r="199">
          <cell r="A199" t="str">
            <v>В166ВУ186</v>
          </cell>
          <cell r="B199" t="str">
            <v>МО-29</v>
          </cell>
        </row>
        <row r="200">
          <cell r="A200" t="str">
            <v>В253СТ86</v>
          </cell>
          <cell r="B200" t="str">
            <v>МО-29</v>
          </cell>
        </row>
        <row r="201">
          <cell r="A201" t="str">
            <v>В520УС86</v>
          </cell>
          <cell r="B201" t="str">
            <v>МО-29</v>
          </cell>
        </row>
        <row r="202">
          <cell r="A202" t="str">
            <v>В632РА86</v>
          </cell>
          <cell r="B202" t="str">
            <v>МО-29</v>
          </cell>
        </row>
        <row r="203">
          <cell r="A203" t="str">
            <v>В862ЕУ186</v>
          </cell>
          <cell r="B203" t="str">
            <v>МО-29</v>
          </cell>
        </row>
        <row r="204">
          <cell r="A204" t="str">
            <v>Е003АР186</v>
          </cell>
          <cell r="B204" t="str">
            <v>МО-29</v>
          </cell>
        </row>
        <row r="205">
          <cell r="A205" t="str">
            <v>Е005АР186</v>
          </cell>
          <cell r="B205" t="str">
            <v>МО-29</v>
          </cell>
        </row>
        <row r="206">
          <cell r="A206" t="str">
            <v>Е007АР186</v>
          </cell>
          <cell r="B206" t="str">
            <v>МО-29</v>
          </cell>
        </row>
        <row r="207">
          <cell r="A207" t="str">
            <v>Е029АР186</v>
          </cell>
          <cell r="B207" t="str">
            <v>МО-29</v>
          </cell>
        </row>
        <row r="208">
          <cell r="A208" t="str">
            <v>Е029НН86</v>
          </cell>
          <cell r="B208" t="str">
            <v>МО-29</v>
          </cell>
        </row>
        <row r="209">
          <cell r="A209" t="str">
            <v>Е040АР186</v>
          </cell>
          <cell r="B209" t="str">
            <v>МО-29</v>
          </cell>
        </row>
        <row r="210">
          <cell r="A210" t="str">
            <v>Е430ХН86</v>
          </cell>
          <cell r="B210" t="str">
            <v>МО-29</v>
          </cell>
        </row>
        <row r="211">
          <cell r="A211" t="str">
            <v>Е784ХО86</v>
          </cell>
          <cell r="B211" t="str">
            <v>МО-29</v>
          </cell>
        </row>
        <row r="212">
          <cell r="A212" t="str">
            <v>К072РВ86</v>
          </cell>
          <cell r="B212" t="str">
            <v>МО-29</v>
          </cell>
        </row>
        <row r="213">
          <cell r="A213" t="str">
            <v>К120НУ86</v>
          </cell>
          <cell r="B213" t="str">
            <v>МО-29</v>
          </cell>
        </row>
        <row r="214">
          <cell r="A214" t="str">
            <v>К228ВВ186</v>
          </cell>
          <cell r="B214" t="str">
            <v>МО-29</v>
          </cell>
        </row>
        <row r="215">
          <cell r="A215" t="str">
            <v>К370СС86</v>
          </cell>
          <cell r="B215" t="str">
            <v>МО-29</v>
          </cell>
        </row>
        <row r="216">
          <cell r="A216" t="str">
            <v>К409АН86</v>
          </cell>
          <cell r="B216" t="str">
            <v>МО-29</v>
          </cell>
        </row>
        <row r="217">
          <cell r="A217" t="str">
            <v>К427РА86</v>
          </cell>
          <cell r="B217" t="str">
            <v>МО-29</v>
          </cell>
        </row>
        <row r="218">
          <cell r="A218" t="str">
            <v>К518АН186</v>
          </cell>
          <cell r="B218" t="str">
            <v>МО-29</v>
          </cell>
        </row>
        <row r="219">
          <cell r="A219" t="str">
            <v>К547СА86</v>
          </cell>
          <cell r="B219" t="str">
            <v>МО-29</v>
          </cell>
        </row>
        <row r="220">
          <cell r="A220" t="str">
            <v>К644НХ186</v>
          </cell>
          <cell r="B220" t="str">
            <v>МО-29</v>
          </cell>
        </row>
        <row r="221">
          <cell r="A221" t="str">
            <v>К646АН186</v>
          </cell>
          <cell r="B221" t="str">
            <v>МО-29</v>
          </cell>
        </row>
        <row r="222">
          <cell r="A222" t="str">
            <v>К656УС86</v>
          </cell>
          <cell r="B222" t="str">
            <v>МО-29</v>
          </cell>
        </row>
        <row r="223">
          <cell r="A223" t="str">
            <v>К725ЕТ186</v>
          </cell>
          <cell r="B223" t="str">
            <v>МО-29</v>
          </cell>
        </row>
        <row r="224">
          <cell r="A224" t="str">
            <v>М155ЕТ86</v>
          </cell>
          <cell r="B224" t="str">
            <v>МО-29</v>
          </cell>
        </row>
        <row r="225">
          <cell r="A225" t="str">
            <v>М589ХС86</v>
          </cell>
          <cell r="B225" t="str">
            <v>МО-29</v>
          </cell>
        </row>
        <row r="226">
          <cell r="A226" t="str">
            <v>М735АА186</v>
          </cell>
          <cell r="B226" t="str">
            <v>МО-29</v>
          </cell>
        </row>
        <row r="227">
          <cell r="A227" t="str">
            <v>М971АЕ186</v>
          </cell>
          <cell r="B227" t="str">
            <v>МО-29</v>
          </cell>
        </row>
        <row r="228">
          <cell r="A228" t="str">
            <v>Н428ХВ86</v>
          </cell>
          <cell r="B228" t="str">
            <v>МО-29</v>
          </cell>
        </row>
        <row r="229">
          <cell r="A229" t="str">
            <v>Н620ХВ86</v>
          </cell>
          <cell r="B229" t="str">
            <v>МО-29</v>
          </cell>
        </row>
        <row r="230">
          <cell r="A230" t="str">
            <v>Н621ХВ86</v>
          </cell>
          <cell r="B230" t="str">
            <v>МО-29</v>
          </cell>
        </row>
        <row r="231">
          <cell r="A231" t="str">
            <v>О444ОУ86</v>
          </cell>
          <cell r="B231" t="str">
            <v>МО-29</v>
          </cell>
        </row>
        <row r="232">
          <cell r="A232" t="str">
            <v>Р044СО86</v>
          </cell>
          <cell r="B232" t="str">
            <v>МО-29</v>
          </cell>
        </row>
        <row r="233">
          <cell r="A233" t="str">
            <v>Р046АА186</v>
          </cell>
          <cell r="B233" t="str">
            <v>МО-29</v>
          </cell>
        </row>
        <row r="234">
          <cell r="A234" t="str">
            <v>Р128АА186</v>
          </cell>
          <cell r="B234" t="str">
            <v>МО-29</v>
          </cell>
        </row>
        <row r="235">
          <cell r="A235" t="str">
            <v>Р853СО86</v>
          </cell>
          <cell r="B235" t="str">
            <v>МО-29</v>
          </cell>
        </row>
        <row r="236">
          <cell r="A236" t="str">
            <v>Р854СО86</v>
          </cell>
          <cell r="B236" t="str">
            <v>МО-29</v>
          </cell>
        </row>
        <row r="237">
          <cell r="A237" t="str">
            <v>Р953КХ86</v>
          </cell>
          <cell r="B237" t="str">
            <v>МО-29</v>
          </cell>
        </row>
        <row r="238">
          <cell r="A238" t="str">
            <v>С024УО86</v>
          </cell>
          <cell r="B238" t="str">
            <v>МО-29</v>
          </cell>
        </row>
        <row r="239">
          <cell r="A239" t="str">
            <v>С029ВВ186</v>
          </cell>
          <cell r="B239" t="str">
            <v>МО-29</v>
          </cell>
        </row>
        <row r="240">
          <cell r="A240" t="str">
            <v>С073ХУ86</v>
          </cell>
          <cell r="B240" t="str">
            <v>МО-29</v>
          </cell>
        </row>
        <row r="241">
          <cell r="A241" t="str">
            <v>С075ХУ86</v>
          </cell>
          <cell r="B241" t="str">
            <v>МО-29</v>
          </cell>
        </row>
        <row r="242">
          <cell r="A242" t="str">
            <v>С243СТ86</v>
          </cell>
          <cell r="B242" t="str">
            <v>МО-29</v>
          </cell>
        </row>
        <row r="243">
          <cell r="A243" t="str">
            <v>С429ХУ86</v>
          </cell>
          <cell r="B243" t="str">
            <v>МО-29</v>
          </cell>
        </row>
        <row r="244">
          <cell r="A244" t="str">
            <v>С430ХУ86</v>
          </cell>
          <cell r="B244" t="str">
            <v>МО-29</v>
          </cell>
        </row>
        <row r="245">
          <cell r="A245" t="str">
            <v>С506ХУ86</v>
          </cell>
          <cell r="B245" t="str">
            <v>МО-29</v>
          </cell>
        </row>
        <row r="246">
          <cell r="A246" t="str">
            <v>С773РН72</v>
          </cell>
          <cell r="B246" t="str">
            <v>МО-29</v>
          </cell>
        </row>
        <row r="247">
          <cell r="A247" t="str">
            <v>Т404ХТ86</v>
          </cell>
          <cell r="B247" t="str">
            <v>МО-29</v>
          </cell>
        </row>
        <row r="248">
          <cell r="A248" t="str">
            <v>Т508ТХ72</v>
          </cell>
          <cell r="B248" t="str">
            <v>МО-29</v>
          </cell>
        </row>
        <row r="249">
          <cell r="A249" t="str">
            <v>У047ХР86</v>
          </cell>
          <cell r="B249" t="str">
            <v>МО-29</v>
          </cell>
        </row>
        <row r="250">
          <cell r="A250" t="str">
            <v>У226РХ86</v>
          </cell>
          <cell r="B250" t="str">
            <v>МО-29</v>
          </cell>
        </row>
        <row r="251">
          <cell r="A251" t="str">
            <v>У359СХ86</v>
          </cell>
          <cell r="B251" t="str">
            <v>МО-29</v>
          </cell>
        </row>
        <row r="252">
          <cell r="A252" t="str">
            <v>У705СМ86</v>
          </cell>
          <cell r="B252" t="str">
            <v>МО-29</v>
          </cell>
        </row>
        <row r="253">
          <cell r="A253" t="str">
            <v>У708ХТ86</v>
          </cell>
          <cell r="B253" t="str">
            <v>МО-29</v>
          </cell>
        </row>
        <row r="254">
          <cell r="A254" t="str">
            <v>У778СМ86</v>
          </cell>
          <cell r="B254" t="str">
            <v>МО-29</v>
          </cell>
        </row>
        <row r="255">
          <cell r="A255" t="str">
            <v>У897ХР86</v>
          </cell>
          <cell r="B255" t="str">
            <v>МО-29</v>
          </cell>
        </row>
        <row r="256">
          <cell r="A256" t="str">
            <v>У912ХТ86</v>
          </cell>
          <cell r="B256" t="str">
            <v>МО-29</v>
          </cell>
        </row>
        <row r="257">
          <cell r="A257" t="str">
            <v>Х206УС86</v>
          </cell>
          <cell r="B257" t="str">
            <v>МО-29</v>
          </cell>
        </row>
        <row r="258">
          <cell r="A258" t="str">
            <v>0374АР86</v>
          </cell>
          <cell r="B258" t="str">
            <v>МО-29</v>
          </cell>
        </row>
        <row r="259">
          <cell r="A259" t="str">
            <v>0539АТ86</v>
          </cell>
          <cell r="B259" t="str">
            <v>МО-29</v>
          </cell>
        </row>
        <row r="260">
          <cell r="A260" t="str">
            <v>0539АТ86</v>
          </cell>
          <cell r="B260" t="str">
            <v>МО-29</v>
          </cell>
        </row>
        <row r="261">
          <cell r="A261">
            <v>725</v>
          </cell>
          <cell r="B261" t="str">
            <v>МО-29</v>
          </cell>
        </row>
        <row r="262">
          <cell r="A262">
            <v>970</v>
          </cell>
          <cell r="B262" t="str">
            <v>МО-29</v>
          </cell>
        </row>
        <row r="263">
          <cell r="A263">
            <v>1009</v>
          </cell>
          <cell r="B263" t="str">
            <v>МО-29</v>
          </cell>
        </row>
        <row r="264">
          <cell r="A264" t="str">
            <v>1105УМ86</v>
          </cell>
          <cell r="B264" t="str">
            <v>МО-29</v>
          </cell>
        </row>
        <row r="265">
          <cell r="A265">
            <v>1122</v>
          </cell>
          <cell r="B265" t="str">
            <v>МО-29</v>
          </cell>
        </row>
        <row r="266">
          <cell r="A266">
            <v>1326</v>
          </cell>
          <cell r="B266" t="str">
            <v>МО-29</v>
          </cell>
        </row>
        <row r="267">
          <cell r="A267" t="str">
            <v>1328МО29</v>
          </cell>
          <cell r="B267" t="str">
            <v>МО-29</v>
          </cell>
        </row>
        <row r="268">
          <cell r="A268">
            <v>1329</v>
          </cell>
          <cell r="B268" t="str">
            <v>МО-29</v>
          </cell>
        </row>
        <row r="269">
          <cell r="A269">
            <v>1331</v>
          </cell>
          <cell r="B269" t="str">
            <v>МО-29</v>
          </cell>
        </row>
        <row r="270">
          <cell r="A270">
            <v>1335</v>
          </cell>
          <cell r="B270" t="str">
            <v>МО-29</v>
          </cell>
        </row>
        <row r="271">
          <cell r="A271">
            <v>1342</v>
          </cell>
          <cell r="B271" t="str">
            <v>МО-29</v>
          </cell>
        </row>
        <row r="272">
          <cell r="A272">
            <v>1418</v>
          </cell>
          <cell r="B272" t="str">
            <v>МО-29</v>
          </cell>
        </row>
        <row r="273">
          <cell r="A273">
            <v>1442</v>
          </cell>
          <cell r="B273" t="str">
            <v>МО-29</v>
          </cell>
        </row>
        <row r="274">
          <cell r="A274">
            <v>1444</v>
          </cell>
          <cell r="B274" t="str">
            <v>МО-29</v>
          </cell>
        </row>
        <row r="275">
          <cell r="A275">
            <v>1445</v>
          </cell>
          <cell r="B275" t="str">
            <v>МО-29</v>
          </cell>
        </row>
        <row r="276">
          <cell r="A276">
            <v>1511</v>
          </cell>
          <cell r="B276" t="str">
            <v>МО-29</v>
          </cell>
        </row>
        <row r="277">
          <cell r="A277">
            <v>1512</v>
          </cell>
          <cell r="B277" t="str">
            <v>МО-29</v>
          </cell>
        </row>
        <row r="278">
          <cell r="A278" t="str">
            <v>1763ТА86</v>
          </cell>
          <cell r="B278" t="str">
            <v>МО-29</v>
          </cell>
        </row>
        <row r="279">
          <cell r="A279" t="str">
            <v>1784ТА86</v>
          </cell>
          <cell r="B279" t="str">
            <v>МО-29</v>
          </cell>
        </row>
        <row r="280">
          <cell r="A280">
            <v>1954</v>
          </cell>
          <cell r="B280" t="str">
            <v>МО-29</v>
          </cell>
        </row>
        <row r="281">
          <cell r="A281">
            <v>1955</v>
          </cell>
          <cell r="B281" t="str">
            <v>МО-29</v>
          </cell>
        </row>
        <row r="282">
          <cell r="A282">
            <v>20163</v>
          </cell>
          <cell r="B282" t="str">
            <v>МО-29</v>
          </cell>
        </row>
        <row r="283">
          <cell r="A283">
            <v>20164</v>
          </cell>
          <cell r="B283" t="str">
            <v>МО-29</v>
          </cell>
        </row>
        <row r="284">
          <cell r="A284">
            <v>20165</v>
          </cell>
          <cell r="B284" t="str">
            <v>МО-29</v>
          </cell>
        </row>
        <row r="285">
          <cell r="A285">
            <v>20166</v>
          </cell>
          <cell r="B285" t="str">
            <v>МО-29</v>
          </cell>
        </row>
        <row r="286">
          <cell r="A286" t="str">
            <v>2097АР86</v>
          </cell>
          <cell r="B286" t="str">
            <v>МО-29</v>
          </cell>
        </row>
        <row r="287">
          <cell r="A287" t="str">
            <v>2097АР86</v>
          </cell>
          <cell r="B287" t="str">
            <v>МО-29</v>
          </cell>
        </row>
        <row r="288">
          <cell r="A288" t="str">
            <v>2098АР86</v>
          </cell>
          <cell r="B288" t="str">
            <v>МО-29</v>
          </cell>
        </row>
        <row r="289">
          <cell r="A289" t="str">
            <v>2098АР86</v>
          </cell>
          <cell r="B289" t="str">
            <v>МО-29</v>
          </cell>
        </row>
        <row r="290">
          <cell r="A290">
            <v>2189</v>
          </cell>
          <cell r="B290" t="str">
            <v>МО-29</v>
          </cell>
        </row>
        <row r="291">
          <cell r="A291">
            <v>2238</v>
          </cell>
          <cell r="B291" t="str">
            <v>МО-29</v>
          </cell>
        </row>
        <row r="292">
          <cell r="A292" t="str">
            <v>2241ХО86</v>
          </cell>
          <cell r="B292" t="str">
            <v>МО-29</v>
          </cell>
        </row>
        <row r="293">
          <cell r="A293">
            <v>2291</v>
          </cell>
          <cell r="B293" t="str">
            <v>МО-29</v>
          </cell>
        </row>
        <row r="294">
          <cell r="A294">
            <v>2381</v>
          </cell>
          <cell r="B294" t="str">
            <v>МО-29</v>
          </cell>
        </row>
        <row r="295">
          <cell r="A295">
            <v>2437</v>
          </cell>
          <cell r="B295" t="str">
            <v>МО-29</v>
          </cell>
        </row>
        <row r="296">
          <cell r="A296">
            <v>2536</v>
          </cell>
          <cell r="B296" t="str">
            <v>МО-29</v>
          </cell>
        </row>
        <row r="297">
          <cell r="A297">
            <v>278</v>
          </cell>
          <cell r="B297" t="str">
            <v>МО-29</v>
          </cell>
        </row>
        <row r="298">
          <cell r="A298">
            <v>30126</v>
          </cell>
          <cell r="B298" t="str">
            <v>МО-29</v>
          </cell>
        </row>
        <row r="299">
          <cell r="A299" t="str">
            <v>3334ХЕ86</v>
          </cell>
          <cell r="B299" t="str">
            <v>МО-29</v>
          </cell>
        </row>
        <row r="300">
          <cell r="A300" t="str">
            <v>3608ХО86</v>
          </cell>
          <cell r="B300" t="str">
            <v>МО-29</v>
          </cell>
        </row>
        <row r="301">
          <cell r="A301">
            <v>4085</v>
          </cell>
          <cell r="B301" t="str">
            <v>МО-29</v>
          </cell>
        </row>
        <row r="302">
          <cell r="A302" t="str">
            <v>4108ТВ86</v>
          </cell>
          <cell r="B302" t="str">
            <v>МО-29</v>
          </cell>
        </row>
        <row r="303">
          <cell r="A303" t="str">
            <v>4129ТВ86</v>
          </cell>
          <cell r="B303" t="str">
            <v>МО-29</v>
          </cell>
        </row>
        <row r="304">
          <cell r="A304" t="str">
            <v>4451УЕ86</v>
          </cell>
          <cell r="B304" t="str">
            <v>МО-29</v>
          </cell>
        </row>
        <row r="305">
          <cell r="A305" t="str">
            <v>4616НВ86</v>
          </cell>
          <cell r="B305" t="str">
            <v>МО-29</v>
          </cell>
        </row>
        <row r="306">
          <cell r="A306" t="str">
            <v>5055УМ86</v>
          </cell>
          <cell r="B306" t="str">
            <v>МО-29</v>
          </cell>
        </row>
        <row r="307">
          <cell r="A307" t="str">
            <v>5056УМ</v>
          </cell>
          <cell r="B307" t="str">
            <v>МО-29</v>
          </cell>
        </row>
        <row r="308">
          <cell r="A308" t="str">
            <v>5112УР86</v>
          </cell>
          <cell r="B308" t="str">
            <v>МО-29</v>
          </cell>
        </row>
        <row r="309">
          <cell r="A309">
            <v>6013</v>
          </cell>
          <cell r="B309" t="str">
            <v>МО-29</v>
          </cell>
        </row>
        <row r="310">
          <cell r="A310">
            <v>6042</v>
          </cell>
          <cell r="B310" t="str">
            <v>МО-29</v>
          </cell>
        </row>
        <row r="311">
          <cell r="A311">
            <v>6144</v>
          </cell>
          <cell r="B311" t="str">
            <v>МО-29</v>
          </cell>
        </row>
        <row r="312">
          <cell r="A312">
            <v>6175</v>
          </cell>
          <cell r="B312" t="str">
            <v>МО-29</v>
          </cell>
        </row>
        <row r="313">
          <cell r="A313">
            <v>6180</v>
          </cell>
          <cell r="B313" t="str">
            <v>МО-29</v>
          </cell>
        </row>
        <row r="314">
          <cell r="A314">
            <v>62557</v>
          </cell>
          <cell r="B314" t="str">
            <v>МО-29</v>
          </cell>
        </row>
        <row r="315">
          <cell r="A315" t="str">
            <v>6381АУ86</v>
          </cell>
          <cell r="B315" t="str">
            <v>МО-29</v>
          </cell>
        </row>
        <row r="316">
          <cell r="A316" t="str">
            <v>6506АС86</v>
          </cell>
          <cell r="B316" t="str">
            <v>МО-29</v>
          </cell>
        </row>
        <row r="317">
          <cell r="A317" t="str">
            <v>6507АС86</v>
          </cell>
          <cell r="B317" t="str">
            <v>МО-29</v>
          </cell>
        </row>
        <row r="318">
          <cell r="A318" t="str">
            <v>6507АС86</v>
          </cell>
          <cell r="B318" t="str">
            <v>МО-29</v>
          </cell>
        </row>
        <row r="319">
          <cell r="A319" t="str">
            <v>8306ХМ86</v>
          </cell>
          <cell r="B319" t="str">
            <v>МО-29</v>
          </cell>
        </row>
        <row r="320">
          <cell r="A320" t="str">
            <v>8326ХР86</v>
          </cell>
          <cell r="B320" t="str">
            <v>МО-29</v>
          </cell>
        </row>
        <row r="321">
          <cell r="A321" t="str">
            <v>9805ТВ86</v>
          </cell>
          <cell r="B321" t="str">
            <v>МО-29</v>
          </cell>
        </row>
        <row r="322">
          <cell r="A322" t="str">
            <v>9822ТВ86</v>
          </cell>
          <cell r="B322" t="str">
            <v>МО-29</v>
          </cell>
        </row>
        <row r="323">
          <cell r="A323" t="str">
            <v>A00000974</v>
          </cell>
          <cell r="B323" t="str">
            <v>МО-36</v>
          </cell>
        </row>
        <row r="324">
          <cell r="A324" t="str">
            <v>A00002521</v>
          </cell>
          <cell r="B324" t="str">
            <v>МО-36</v>
          </cell>
        </row>
        <row r="325">
          <cell r="A325" t="str">
            <v>A00002662</v>
          </cell>
          <cell r="B325" t="str">
            <v>МО-36</v>
          </cell>
        </row>
        <row r="326">
          <cell r="A326" t="str">
            <v>A00002670</v>
          </cell>
          <cell r="B326" t="str">
            <v>МО-36</v>
          </cell>
        </row>
        <row r="327">
          <cell r="A327" t="str">
            <v>A00002979</v>
          </cell>
          <cell r="B327" t="str">
            <v>МО-36</v>
          </cell>
        </row>
        <row r="328">
          <cell r="A328" t="str">
            <v>C015МХ72</v>
          </cell>
          <cell r="B328" t="str">
            <v>МО-36</v>
          </cell>
        </row>
        <row r="329">
          <cell r="A329" t="str">
            <v>D00003801</v>
          </cell>
          <cell r="B329" t="str">
            <v>МО-36</v>
          </cell>
        </row>
        <row r="330">
          <cell r="A330" t="str">
            <v>D00004304</v>
          </cell>
          <cell r="B330" t="str">
            <v>МО-36</v>
          </cell>
        </row>
        <row r="331">
          <cell r="A331" t="str">
            <v>D00004879</v>
          </cell>
          <cell r="B331" t="str">
            <v>МО-36</v>
          </cell>
        </row>
        <row r="332">
          <cell r="A332" t="str">
            <v>D00004886</v>
          </cell>
          <cell r="B332" t="str">
            <v>МО-36</v>
          </cell>
        </row>
        <row r="333">
          <cell r="A333" t="str">
            <v>O410ТН72</v>
          </cell>
          <cell r="B333" t="str">
            <v>МО-36</v>
          </cell>
        </row>
        <row r="334">
          <cell r="A334" t="str">
            <v>АН94672</v>
          </cell>
          <cell r="B334" t="str">
            <v>МО-36</v>
          </cell>
        </row>
        <row r="335">
          <cell r="A335" t="str">
            <v>АО256886</v>
          </cell>
          <cell r="B335" t="str">
            <v>МО-36</v>
          </cell>
        </row>
        <row r="336">
          <cell r="A336" t="str">
            <v>АО41072</v>
          </cell>
          <cell r="B336" t="str">
            <v>МО-36</v>
          </cell>
        </row>
        <row r="337">
          <cell r="A337" t="str">
            <v>АО41272</v>
          </cell>
          <cell r="B337" t="str">
            <v>МО-36</v>
          </cell>
        </row>
        <row r="338">
          <cell r="A338" t="str">
            <v>АО41372</v>
          </cell>
          <cell r="B338" t="str">
            <v>МО-36</v>
          </cell>
        </row>
        <row r="339">
          <cell r="A339" t="str">
            <v>АР287555</v>
          </cell>
          <cell r="B339" t="str">
            <v>МО-36</v>
          </cell>
        </row>
        <row r="340">
          <cell r="A340" t="str">
            <v>АС612286</v>
          </cell>
          <cell r="B340" t="str">
            <v>МО-36</v>
          </cell>
        </row>
        <row r="341">
          <cell r="A341" t="str">
            <v>АТ630672</v>
          </cell>
          <cell r="B341" t="str">
            <v>МО-36</v>
          </cell>
        </row>
        <row r="342">
          <cell r="A342" t="str">
            <v>АТ630772</v>
          </cell>
          <cell r="B342" t="str">
            <v>МО-36</v>
          </cell>
        </row>
        <row r="343">
          <cell r="A343" t="str">
            <v>АУ6928</v>
          </cell>
          <cell r="B343" t="str">
            <v>МО-36</v>
          </cell>
        </row>
        <row r="344">
          <cell r="A344" t="str">
            <v>АХ297472</v>
          </cell>
          <cell r="B344" t="str">
            <v>МО-36</v>
          </cell>
        </row>
        <row r="345">
          <cell r="A345" t="str">
            <v>АХ953172</v>
          </cell>
          <cell r="B345" t="str">
            <v>МО-36</v>
          </cell>
        </row>
        <row r="346">
          <cell r="A346" t="str">
            <v>А00002520</v>
          </cell>
          <cell r="B346" t="str">
            <v>МО-36</v>
          </cell>
        </row>
        <row r="347">
          <cell r="A347" t="str">
            <v>А009МХ89</v>
          </cell>
          <cell r="B347" t="str">
            <v>МО-36</v>
          </cell>
        </row>
        <row r="348">
          <cell r="A348" t="str">
            <v>А137ХЕ89</v>
          </cell>
          <cell r="B348" t="str">
            <v>МО-36</v>
          </cell>
        </row>
        <row r="349">
          <cell r="A349" t="str">
            <v>А324УК89</v>
          </cell>
          <cell r="B349" t="str">
            <v>МО-36</v>
          </cell>
        </row>
        <row r="350">
          <cell r="A350" t="str">
            <v>А394СС186</v>
          </cell>
          <cell r="B350" t="str">
            <v>МО-36</v>
          </cell>
        </row>
        <row r="351">
          <cell r="A351" t="str">
            <v>А448ХК72</v>
          </cell>
          <cell r="B351" t="str">
            <v>МО-36</v>
          </cell>
        </row>
        <row r="352">
          <cell r="A352" t="str">
            <v>А904МН72</v>
          </cell>
          <cell r="B352" t="str">
            <v>МО-36</v>
          </cell>
        </row>
        <row r="353">
          <cell r="A353" t="str">
            <v>А968СА72</v>
          </cell>
          <cell r="B353" t="str">
            <v>МО-36</v>
          </cell>
        </row>
        <row r="354">
          <cell r="A354" t="str">
            <v>А984УМ89</v>
          </cell>
          <cell r="B354" t="str">
            <v>МО-36</v>
          </cell>
        </row>
        <row r="355">
          <cell r="A355" t="str">
            <v>А985УМ89</v>
          </cell>
          <cell r="B355" t="str">
            <v>МО-36</v>
          </cell>
        </row>
        <row r="356">
          <cell r="A356" t="str">
            <v>ВА546872</v>
          </cell>
          <cell r="B356" t="str">
            <v>МО-36</v>
          </cell>
        </row>
        <row r="357">
          <cell r="A357" t="str">
            <v>ВА546972</v>
          </cell>
          <cell r="B357" t="str">
            <v>МО-36</v>
          </cell>
        </row>
        <row r="358">
          <cell r="A358" t="str">
            <v>ВА549172</v>
          </cell>
          <cell r="B358" t="str">
            <v>МО-36</v>
          </cell>
        </row>
        <row r="359">
          <cell r="A359" t="str">
            <v>ВА549272</v>
          </cell>
          <cell r="B359" t="str">
            <v>МО-36</v>
          </cell>
        </row>
        <row r="360">
          <cell r="A360" t="str">
            <v>ВА551872</v>
          </cell>
          <cell r="B360" t="str">
            <v>МО-36</v>
          </cell>
        </row>
        <row r="361">
          <cell r="A361" t="str">
            <v>ВА713072</v>
          </cell>
          <cell r="B361" t="str">
            <v>МО-36</v>
          </cell>
        </row>
        <row r="362">
          <cell r="A362" t="str">
            <v>ВА713172</v>
          </cell>
          <cell r="B362" t="str">
            <v>МО-36</v>
          </cell>
        </row>
        <row r="363">
          <cell r="A363" t="str">
            <v>ВА713272</v>
          </cell>
          <cell r="B363" t="str">
            <v>МО-36</v>
          </cell>
        </row>
        <row r="364">
          <cell r="A364" t="str">
            <v>ВА713372</v>
          </cell>
          <cell r="B364" t="str">
            <v>МО-36</v>
          </cell>
        </row>
        <row r="365">
          <cell r="A365" t="str">
            <v>ВВ075972</v>
          </cell>
          <cell r="B365" t="str">
            <v>МО-36</v>
          </cell>
        </row>
        <row r="366">
          <cell r="A366" t="str">
            <v>В111ХТ86</v>
          </cell>
          <cell r="B366" t="str">
            <v>МО-36</v>
          </cell>
        </row>
        <row r="367">
          <cell r="A367" t="str">
            <v>В122ОН72</v>
          </cell>
          <cell r="B367" t="str">
            <v>МО-36</v>
          </cell>
        </row>
        <row r="368">
          <cell r="A368" t="str">
            <v>В235УС72</v>
          </cell>
          <cell r="B368" t="str">
            <v>МО-36</v>
          </cell>
        </row>
        <row r="369">
          <cell r="A369" t="str">
            <v>В248ХЕ72</v>
          </cell>
          <cell r="B369" t="str">
            <v>МО-36</v>
          </cell>
        </row>
        <row r="370">
          <cell r="A370" t="str">
            <v>В335ХС86</v>
          </cell>
          <cell r="B370" t="str">
            <v>МО-36</v>
          </cell>
        </row>
        <row r="371">
          <cell r="A371" t="str">
            <v>В519УС86</v>
          </cell>
          <cell r="B371" t="str">
            <v>МО-36</v>
          </cell>
        </row>
        <row r="372">
          <cell r="A372" t="str">
            <v>В623ОМ72</v>
          </cell>
          <cell r="B372" t="str">
            <v>МО-36</v>
          </cell>
        </row>
        <row r="373">
          <cell r="A373" t="str">
            <v>В766СК123</v>
          </cell>
          <cell r="B373" t="str">
            <v>МО-36</v>
          </cell>
        </row>
        <row r="374">
          <cell r="A374" t="str">
            <v>В914ОА72</v>
          </cell>
          <cell r="B374" t="str">
            <v>МО-36</v>
          </cell>
        </row>
        <row r="375">
          <cell r="A375" t="str">
            <v>В999ЕС86</v>
          </cell>
          <cell r="B375" t="str">
            <v>МО-36</v>
          </cell>
        </row>
        <row r="376">
          <cell r="A376" t="str">
            <v>Е005ХК86</v>
          </cell>
          <cell r="B376" t="str">
            <v>МО-36</v>
          </cell>
        </row>
        <row r="377">
          <cell r="A377" t="str">
            <v>Е360ТО72</v>
          </cell>
          <cell r="B377" t="str">
            <v>МО-36</v>
          </cell>
        </row>
        <row r="378">
          <cell r="A378" t="str">
            <v>Е418ЕУ72</v>
          </cell>
          <cell r="B378" t="str">
            <v>МО-36</v>
          </cell>
        </row>
        <row r="379">
          <cell r="A379" t="str">
            <v>Е507СВ72</v>
          </cell>
          <cell r="B379" t="str">
            <v>МО-36</v>
          </cell>
        </row>
        <row r="380">
          <cell r="A380" t="str">
            <v>Е679ХО72</v>
          </cell>
          <cell r="B380" t="str">
            <v>МО-36</v>
          </cell>
        </row>
        <row r="381">
          <cell r="A381" t="str">
            <v>Е887РЕ196</v>
          </cell>
          <cell r="B381" t="str">
            <v>МО-36</v>
          </cell>
        </row>
        <row r="382">
          <cell r="A382" t="str">
            <v>К017КС72</v>
          </cell>
          <cell r="B382" t="str">
            <v>МО-36</v>
          </cell>
        </row>
        <row r="383">
          <cell r="A383" t="str">
            <v>К029СС72</v>
          </cell>
          <cell r="B383" t="str">
            <v>МО-36</v>
          </cell>
        </row>
        <row r="384">
          <cell r="A384" t="str">
            <v>К032СС72</v>
          </cell>
          <cell r="B384" t="str">
            <v>МО-36</v>
          </cell>
        </row>
        <row r="385">
          <cell r="A385" t="str">
            <v>К086ВТ138</v>
          </cell>
          <cell r="B385" t="str">
            <v>МО-36</v>
          </cell>
        </row>
        <row r="386">
          <cell r="A386" t="str">
            <v>К150ОК186</v>
          </cell>
          <cell r="B386" t="str">
            <v>МО-36</v>
          </cell>
        </row>
        <row r="387">
          <cell r="A387" t="str">
            <v>К170УТ72</v>
          </cell>
          <cell r="B387" t="str">
            <v>МО-36</v>
          </cell>
        </row>
        <row r="388">
          <cell r="A388" t="str">
            <v>К334ВТ138</v>
          </cell>
          <cell r="B388" t="str">
            <v>МО-36</v>
          </cell>
        </row>
        <row r="389">
          <cell r="A389" t="str">
            <v>К385ТЕ72</v>
          </cell>
          <cell r="B389" t="str">
            <v>МО-36</v>
          </cell>
        </row>
        <row r="390">
          <cell r="A390" t="str">
            <v>К395ТЕ72</v>
          </cell>
          <cell r="B390" t="str">
            <v>МО-36</v>
          </cell>
        </row>
        <row r="391">
          <cell r="A391" t="str">
            <v>К397ТЕ72</v>
          </cell>
          <cell r="B391" t="str">
            <v>МО-36</v>
          </cell>
        </row>
        <row r="392">
          <cell r="A392" t="str">
            <v>К398ЕР72</v>
          </cell>
          <cell r="B392" t="str">
            <v>МО-36</v>
          </cell>
        </row>
        <row r="393">
          <cell r="A393" t="str">
            <v>К399ТЕ72</v>
          </cell>
          <cell r="B393" t="str">
            <v>МО-36</v>
          </cell>
        </row>
        <row r="394">
          <cell r="A394" t="str">
            <v>К533УА72</v>
          </cell>
          <cell r="B394" t="str">
            <v>МО-36</v>
          </cell>
        </row>
        <row r="395">
          <cell r="A395" t="str">
            <v>К598РВ196</v>
          </cell>
          <cell r="B395" t="str">
            <v>МО-36</v>
          </cell>
        </row>
        <row r="396">
          <cell r="A396" t="str">
            <v>К604АН186</v>
          </cell>
          <cell r="B396" t="str">
            <v>МО-36</v>
          </cell>
        </row>
        <row r="397">
          <cell r="A397" t="str">
            <v>К666УС86</v>
          </cell>
          <cell r="B397" t="str">
            <v>МО-36</v>
          </cell>
        </row>
        <row r="398">
          <cell r="A398" t="str">
            <v>К685НХ72</v>
          </cell>
          <cell r="B398" t="str">
            <v>МО-36</v>
          </cell>
        </row>
        <row r="399">
          <cell r="A399" t="str">
            <v>К687НХ72</v>
          </cell>
          <cell r="B399" t="str">
            <v>МО-36</v>
          </cell>
        </row>
        <row r="400">
          <cell r="A400" t="str">
            <v>К736ХК72</v>
          </cell>
          <cell r="B400" t="str">
            <v>МО-36</v>
          </cell>
        </row>
        <row r="401">
          <cell r="A401" t="str">
            <v>К793АА186</v>
          </cell>
          <cell r="B401" t="str">
            <v>МО-36</v>
          </cell>
        </row>
        <row r="402">
          <cell r="A402" t="str">
            <v>К957УЕ72</v>
          </cell>
          <cell r="B402" t="str">
            <v>МО-36</v>
          </cell>
        </row>
        <row r="403">
          <cell r="A403" t="str">
            <v>К966МЕ72</v>
          </cell>
          <cell r="B403" t="str">
            <v>МО-36</v>
          </cell>
        </row>
        <row r="404">
          <cell r="A404" t="str">
            <v>М001НЕ72</v>
          </cell>
          <cell r="B404" t="str">
            <v>МО-36</v>
          </cell>
        </row>
        <row r="405">
          <cell r="A405" t="str">
            <v>М014КУ72</v>
          </cell>
          <cell r="B405" t="str">
            <v>МО-36</v>
          </cell>
        </row>
        <row r="406">
          <cell r="A406" t="str">
            <v>М092МН</v>
          </cell>
          <cell r="B406" t="str">
            <v>МО-36</v>
          </cell>
        </row>
        <row r="407">
          <cell r="A407" t="str">
            <v>М094НН72</v>
          </cell>
          <cell r="B407" t="str">
            <v>МО-36</v>
          </cell>
        </row>
        <row r="408">
          <cell r="A408" t="str">
            <v>М095НН72</v>
          </cell>
          <cell r="B408" t="str">
            <v>МО-36</v>
          </cell>
        </row>
        <row r="409">
          <cell r="A409" t="str">
            <v>М117УН72</v>
          </cell>
          <cell r="B409" t="str">
            <v>МО-36</v>
          </cell>
        </row>
        <row r="410">
          <cell r="A410" t="str">
            <v>М118УН72</v>
          </cell>
          <cell r="B410" t="str">
            <v>МО-36</v>
          </cell>
        </row>
        <row r="411">
          <cell r="A411" t="str">
            <v>М119УН72</v>
          </cell>
          <cell r="B411" t="str">
            <v>МО-36</v>
          </cell>
        </row>
        <row r="412">
          <cell r="A412" t="str">
            <v>М236МР72</v>
          </cell>
          <cell r="B412" t="str">
            <v>МО-36</v>
          </cell>
        </row>
        <row r="413">
          <cell r="A413" t="str">
            <v>М283НТ72</v>
          </cell>
          <cell r="B413" t="str">
            <v>МО-36</v>
          </cell>
        </row>
        <row r="414">
          <cell r="A414" t="str">
            <v>М298ОА72</v>
          </cell>
          <cell r="B414" t="str">
            <v>МО-36</v>
          </cell>
        </row>
        <row r="415">
          <cell r="A415" t="str">
            <v>М498КТ72</v>
          </cell>
          <cell r="B415" t="str">
            <v>МО-36</v>
          </cell>
        </row>
        <row r="416">
          <cell r="A416" t="str">
            <v>М532КР72</v>
          </cell>
          <cell r="B416" t="str">
            <v>МО-36</v>
          </cell>
        </row>
        <row r="417">
          <cell r="A417" t="str">
            <v>М549ОР72</v>
          </cell>
          <cell r="B417" t="str">
            <v>МО-36</v>
          </cell>
        </row>
        <row r="418">
          <cell r="A418" t="str">
            <v>М590ХС174</v>
          </cell>
          <cell r="B418" t="str">
            <v>МО-36</v>
          </cell>
        </row>
        <row r="419">
          <cell r="A419" t="str">
            <v>М659НУ55</v>
          </cell>
          <cell r="B419" t="str">
            <v>МО-36</v>
          </cell>
        </row>
        <row r="420">
          <cell r="A420" t="str">
            <v>М912СУ86</v>
          </cell>
          <cell r="B420" t="str">
            <v>МО-36</v>
          </cell>
        </row>
        <row r="421">
          <cell r="A421" t="str">
            <v>М936СР72</v>
          </cell>
          <cell r="B421" t="str">
            <v>МО-36</v>
          </cell>
        </row>
        <row r="422">
          <cell r="A422" t="str">
            <v>Н011ТР72</v>
          </cell>
          <cell r="B422" t="str">
            <v>МО-36</v>
          </cell>
        </row>
        <row r="423">
          <cell r="A423" t="str">
            <v>Н011УА72</v>
          </cell>
          <cell r="B423" t="str">
            <v>МО-36</v>
          </cell>
        </row>
        <row r="424">
          <cell r="A424" t="str">
            <v>Н036НТ72</v>
          </cell>
          <cell r="B424" t="str">
            <v>МО-36</v>
          </cell>
        </row>
        <row r="425">
          <cell r="A425" t="str">
            <v>Н042АЕ186</v>
          </cell>
          <cell r="B425" t="str">
            <v>МО-36</v>
          </cell>
        </row>
        <row r="426">
          <cell r="A426" t="str">
            <v>Н128РО72</v>
          </cell>
          <cell r="B426" t="str">
            <v>МО-36</v>
          </cell>
        </row>
        <row r="427">
          <cell r="A427" t="str">
            <v>Н191МР72</v>
          </cell>
          <cell r="B427" t="str">
            <v>МО-36</v>
          </cell>
        </row>
        <row r="428">
          <cell r="A428" t="str">
            <v>Н225ЕМ72</v>
          </cell>
          <cell r="B428" t="str">
            <v>МО-36</v>
          </cell>
        </row>
        <row r="429">
          <cell r="A429" t="str">
            <v>Н336УУ72</v>
          </cell>
          <cell r="B429" t="str">
            <v>МО-36</v>
          </cell>
        </row>
        <row r="430">
          <cell r="A430" t="str">
            <v>Н341ЕХ72</v>
          </cell>
          <cell r="B430" t="str">
            <v>МО-36</v>
          </cell>
        </row>
        <row r="431">
          <cell r="A431" t="str">
            <v>Н429ХВ86</v>
          </cell>
          <cell r="B431" t="str">
            <v>МО-36</v>
          </cell>
        </row>
        <row r="432">
          <cell r="A432" t="str">
            <v>Н437СУ86</v>
          </cell>
          <cell r="B432" t="str">
            <v>МО-36</v>
          </cell>
        </row>
        <row r="433">
          <cell r="A433" t="str">
            <v>Н479ТК72</v>
          </cell>
          <cell r="B433" t="str">
            <v>МО-36</v>
          </cell>
        </row>
        <row r="434">
          <cell r="A434" t="str">
            <v>Н486ТК72</v>
          </cell>
          <cell r="B434" t="str">
            <v>МО-36</v>
          </cell>
        </row>
        <row r="435">
          <cell r="A435" t="str">
            <v>Н487ТК72</v>
          </cell>
          <cell r="B435" t="str">
            <v>МО-36</v>
          </cell>
        </row>
        <row r="436">
          <cell r="A436" t="str">
            <v>Н627РУ72</v>
          </cell>
          <cell r="B436" t="str">
            <v>МО-36</v>
          </cell>
        </row>
        <row r="437">
          <cell r="A437" t="str">
            <v>Н653УА72</v>
          </cell>
          <cell r="B437" t="str">
            <v>МО-36</v>
          </cell>
        </row>
        <row r="438">
          <cell r="A438" t="str">
            <v>Н802КУ72</v>
          </cell>
          <cell r="B438" t="str">
            <v>МО-36</v>
          </cell>
        </row>
        <row r="439">
          <cell r="A439" t="str">
            <v>Н821ЕР72</v>
          </cell>
          <cell r="B439" t="str">
            <v>МО-36</v>
          </cell>
        </row>
        <row r="440">
          <cell r="A440" t="str">
            <v>Н822ЕР72</v>
          </cell>
          <cell r="B440" t="str">
            <v>МО-36</v>
          </cell>
        </row>
        <row r="441">
          <cell r="A441" t="str">
            <v>Н823ЕР72</v>
          </cell>
          <cell r="B441" t="str">
            <v>МО-36</v>
          </cell>
        </row>
        <row r="442">
          <cell r="A442" t="str">
            <v>Н879ХВ86</v>
          </cell>
          <cell r="B442" t="str">
            <v>МО-36</v>
          </cell>
        </row>
        <row r="443">
          <cell r="A443" t="str">
            <v>Н885УУ72</v>
          </cell>
          <cell r="B443" t="str">
            <v>МО-36</v>
          </cell>
        </row>
        <row r="444">
          <cell r="A444" t="str">
            <v>Н899УУ72</v>
          </cell>
          <cell r="B444" t="str">
            <v>МО-36</v>
          </cell>
        </row>
        <row r="445">
          <cell r="A445" t="str">
            <v>Н945МТ72</v>
          </cell>
          <cell r="B445" t="str">
            <v>МО-36</v>
          </cell>
        </row>
        <row r="446">
          <cell r="A446" t="str">
            <v>Н978УК72</v>
          </cell>
          <cell r="B446" t="str">
            <v>МО-36</v>
          </cell>
        </row>
        <row r="447">
          <cell r="A447" t="str">
            <v>О011ЕС72</v>
          </cell>
          <cell r="B447" t="str">
            <v>МО-36</v>
          </cell>
        </row>
        <row r="448">
          <cell r="A448" t="str">
            <v>О050ТР72</v>
          </cell>
          <cell r="B448" t="str">
            <v>МО-36</v>
          </cell>
        </row>
        <row r="449">
          <cell r="A449" t="str">
            <v>О051ТР72</v>
          </cell>
          <cell r="B449" t="str">
            <v>МО-36</v>
          </cell>
        </row>
        <row r="450">
          <cell r="A450" t="str">
            <v>О055ТР72</v>
          </cell>
          <cell r="B450" t="str">
            <v>МО-36</v>
          </cell>
        </row>
        <row r="451">
          <cell r="A451" t="str">
            <v>О138СЕ89</v>
          </cell>
          <cell r="B451" t="str">
            <v>МО-36</v>
          </cell>
        </row>
        <row r="452">
          <cell r="A452" t="str">
            <v>О139СЕ89</v>
          </cell>
          <cell r="B452" t="str">
            <v>МО-36</v>
          </cell>
        </row>
        <row r="453">
          <cell r="A453" t="str">
            <v>О140ЕК72</v>
          </cell>
          <cell r="B453" t="str">
            <v>МО-36</v>
          </cell>
        </row>
        <row r="454">
          <cell r="A454" t="str">
            <v>О140СЕ89</v>
          </cell>
          <cell r="B454" t="str">
            <v>МО-36</v>
          </cell>
        </row>
        <row r="455">
          <cell r="A455" t="str">
            <v>О142СЕ89</v>
          </cell>
          <cell r="B455" t="str">
            <v>МО-36</v>
          </cell>
        </row>
        <row r="456">
          <cell r="A456" t="str">
            <v>О143ЕК72</v>
          </cell>
          <cell r="B456" t="str">
            <v>МО-36</v>
          </cell>
        </row>
        <row r="457">
          <cell r="A457" t="str">
            <v>О144ЕК72</v>
          </cell>
          <cell r="B457" t="str">
            <v>МО-36</v>
          </cell>
        </row>
        <row r="458">
          <cell r="A458" t="str">
            <v>О158ЕР72</v>
          </cell>
          <cell r="B458" t="str">
            <v>МО-36</v>
          </cell>
        </row>
        <row r="459">
          <cell r="A459" t="str">
            <v>О195РВ72</v>
          </cell>
          <cell r="B459" t="str">
            <v>МО-36</v>
          </cell>
        </row>
        <row r="460">
          <cell r="A460" t="str">
            <v>О217ОС72</v>
          </cell>
          <cell r="B460" t="str">
            <v>МО-36</v>
          </cell>
        </row>
        <row r="461">
          <cell r="A461" t="str">
            <v>О277ЕР40</v>
          </cell>
          <cell r="B461" t="str">
            <v>МО-36</v>
          </cell>
        </row>
        <row r="462">
          <cell r="A462" t="str">
            <v>О289КТ72</v>
          </cell>
          <cell r="B462" t="str">
            <v>МО-36</v>
          </cell>
        </row>
        <row r="463">
          <cell r="A463" t="str">
            <v>О290КТ72</v>
          </cell>
          <cell r="B463" t="str">
            <v>МО-36</v>
          </cell>
        </row>
        <row r="464">
          <cell r="A464" t="str">
            <v>О314КХ72</v>
          </cell>
          <cell r="B464" t="str">
            <v>МО-36</v>
          </cell>
        </row>
        <row r="465">
          <cell r="A465" t="str">
            <v>О361РМ72</v>
          </cell>
          <cell r="B465" t="str">
            <v>МО-36</v>
          </cell>
        </row>
        <row r="466">
          <cell r="A466" t="str">
            <v>О429НХ72</v>
          </cell>
          <cell r="B466" t="str">
            <v>МО-36</v>
          </cell>
        </row>
        <row r="467">
          <cell r="A467" t="str">
            <v>О430НХ72</v>
          </cell>
          <cell r="B467" t="str">
            <v>МО-36</v>
          </cell>
        </row>
        <row r="468">
          <cell r="A468" t="str">
            <v>О445НХ72</v>
          </cell>
          <cell r="B468" t="str">
            <v>МО-36</v>
          </cell>
        </row>
        <row r="469">
          <cell r="A469" t="str">
            <v>О448РУ72</v>
          </cell>
          <cell r="B469" t="str">
            <v>МО-36</v>
          </cell>
        </row>
        <row r="470">
          <cell r="A470" t="str">
            <v>О449РУ72</v>
          </cell>
          <cell r="B470" t="str">
            <v>МО-36</v>
          </cell>
        </row>
        <row r="471">
          <cell r="A471" t="str">
            <v>О495СН72</v>
          </cell>
          <cell r="B471" t="str">
            <v>МО-36</v>
          </cell>
        </row>
        <row r="472">
          <cell r="A472" t="str">
            <v>О526МВ72</v>
          </cell>
          <cell r="B472" t="str">
            <v>МО-36</v>
          </cell>
        </row>
        <row r="473">
          <cell r="A473" t="str">
            <v>О531РТ72</v>
          </cell>
          <cell r="B473" t="str">
            <v>МО-36</v>
          </cell>
        </row>
        <row r="474">
          <cell r="A474" t="str">
            <v>О532РТ72</v>
          </cell>
          <cell r="B474" t="str">
            <v>МО-36</v>
          </cell>
        </row>
        <row r="475">
          <cell r="A475" t="str">
            <v>О612МН72</v>
          </cell>
          <cell r="B475" t="str">
            <v>МО-36</v>
          </cell>
        </row>
        <row r="476">
          <cell r="A476" t="str">
            <v>О613МН72</v>
          </cell>
          <cell r="B476" t="str">
            <v>МО-36</v>
          </cell>
        </row>
        <row r="477">
          <cell r="A477" t="str">
            <v>О614МН72</v>
          </cell>
          <cell r="B477" t="str">
            <v>МО-36</v>
          </cell>
        </row>
        <row r="478">
          <cell r="A478" t="str">
            <v>О667ТВ72</v>
          </cell>
          <cell r="B478" t="str">
            <v>МО-36</v>
          </cell>
        </row>
        <row r="479">
          <cell r="A479" t="str">
            <v>о673ун72</v>
          </cell>
          <cell r="B479" t="str">
            <v>МО-36</v>
          </cell>
        </row>
        <row r="480">
          <cell r="A480" t="str">
            <v>О674УН72</v>
          </cell>
          <cell r="B480" t="str">
            <v>МО-36</v>
          </cell>
        </row>
        <row r="481">
          <cell r="A481" t="str">
            <v>О739НР72</v>
          </cell>
          <cell r="B481" t="str">
            <v>МО-36</v>
          </cell>
        </row>
        <row r="482">
          <cell r="A482" t="str">
            <v>О768ЕХ72</v>
          </cell>
          <cell r="B482" t="str">
            <v>МО-36</v>
          </cell>
        </row>
        <row r="483">
          <cell r="A483" t="str">
            <v>О856МЕ72</v>
          </cell>
          <cell r="B483" t="str">
            <v>МО-36</v>
          </cell>
        </row>
        <row r="484">
          <cell r="A484" t="str">
            <v>О890МА72</v>
          </cell>
          <cell r="B484" t="str">
            <v>МО-36</v>
          </cell>
        </row>
        <row r="485">
          <cell r="A485" t="str">
            <v>О943ХЕ72</v>
          </cell>
          <cell r="B485" t="str">
            <v>МО-36</v>
          </cell>
        </row>
        <row r="486">
          <cell r="A486" t="str">
            <v>О945СС152</v>
          </cell>
          <cell r="B486" t="str">
            <v>МО-36</v>
          </cell>
        </row>
        <row r="487">
          <cell r="A487" t="str">
            <v>Р004ТУ72</v>
          </cell>
          <cell r="B487" t="str">
            <v>МО-36</v>
          </cell>
        </row>
        <row r="488">
          <cell r="A488" t="str">
            <v>Р009ТУ72</v>
          </cell>
          <cell r="B488" t="str">
            <v>МО-36</v>
          </cell>
        </row>
        <row r="489">
          <cell r="A489" t="str">
            <v>Р010ОР55</v>
          </cell>
          <cell r="B489" t="str">
            <v>МО-36</v>
          </cell>
        </row>
        <row r="490">
          <cell r="A490" t="str">
            <v>Р011ЕК72</v>
          </cell>
          <cell r="B490" t="str">
            <v>МО-36</v>
          </cell>
        </row>
        <row r="491">
          <cell r="A491" t="str">
            <v>Р025МС72</v>
          </cell>
          <cell r="B491" t="str">
            <v>МО-36</v>
          </cell>
        </row>
        <row r="492">
          <cell r="A492" t="str">
            <v>Р026МС72</v>
          </cell>
          <cell r="B492" t="str">
            <v>МО-36</v>
          </cell>
        </row>
        <row r="493">
          <cell r="A493" t="str">
            <v>Р027МС72</v>
          </cell>
          <cell r="B493" t="str">
            <v>МО-36</v>
          </cell>
        </row>
        <row r="494">
          <cell r="A494" t="str">
            <v>Р028МС72</v>
          </cell>
          <cell r="B494" t="str">
            <v>МО-36</v>
          </cell>
        </row>
        <row r="495">
          <cell r="A495" t="str">
            <v>Р029МС72</v>
          </cell>
          <cell r="B495" t="str">
            <v>МО-36</v>
          </cell>
        </row>
        <row r="496">
          <cell r="A496" t="str">
            <v>Р030МС72</v>
          </cell>
          <cell r="B496" t="str">
            <v>МО-36</v>
          </cell>
        </row>
        <row r="497">
          <cell r="A497" t="str">
            <v>Р031МС72</v>
          </cell>
          <cell r="B497" t="str">
            <v>МО-36</v>
          </cell>
        </row>
        <row r="498">
          <cell r="A498" t="str">
            <v>Р033НУ125</v>
          </cell>
          <cell r="B498" t="str">
            <v>МО-36</v>
          </cell>
        </row>
        <row r="499">
          <cell r="A499" t="str">
            <v>Р069ЕС72</v>
          </cell>
          <cell r="B499" t="str">
            <v>МО-36</v>
          </cell>
        </row>
        <row r="500">
          <cell r="A500" t="str">
            <v>Р091КХ72</v>
          </cell>
          <cell r="B500" t="str">
            <v>МО-36</v>
          </cell>
        </row>
        <row r="501">
          <cell r="A501" t="str">
            <v>Р114СК72</v>
          </cell>
          <cell r="B501" t="str">
            <v>МО-36</v>
          </cell>
        </row>
        <row r="502">
          <cell r="A502" t="str">
            <v>Р115СК72</v>
          </cell>
          <cell r="B502" t="str">
            <v>МО-36</v>
          </cell>
        </row>
        <row r="503">
          <cell r="A503" t="str">
            <v>Р116СК72</v>
          </cell>
          <cell r="B503" t="str">
            <v>МО-36</v>
          </cell>
        </row>
        <row r="504">
          <cell r="A504" t="str">
            <v>Р135ТК86</v>
          </cell>
          <cell r="B504" t="str">
            <v>МО-36</v>
          </cell>
        </row>
        <row r="505">
          <cell r="A505" t="str">
            <v>Р154РХ72</v>
          </cell>
          <cell r="B505" t="str">
            <v>МО-36</v>
          </cell>
        </row>
        <row r="506">
          <cell r="A506" t="str">
            <v>Р163КЕ72</v>
          </cell>
          <cell r="B506" t="str">
            <v>МО-36</v>
          </cell>
        </row>
        <row r="507">
          <cell r="A507" t="str">
            <v>Р224КХ72</v>
          </cell>
          <cell r="B507" t="str">
            <v>МО-36</v>
          </cell>
        </row>
        <row r="508">
          <cell r="A508" t="str">
            <v>Р241ЕС72</v>
          </cell>
          <cell r="B508" t="str">
            <v>МО-36</v>
          </cell>
        </row>
        <row r="509">
          <cell r="A509" t="str">
            <v>Р482КЕ72</v>
          </cell>
          <cell r="B509" t="str">
            <v>МО-36</v>
          </cell>
        </row>
        <row r="510">
          <cell r="A510" t="str">
            <v>Р532КЕ72</v>
          </cell>
          <cell r="B510" t="str">
            <v>МО-36</v>
          </cell>
        </row>
        <row r="511">
          <cell r="A511" t="str">
            <v>Р548ММ72</v>
          </cell>
          <cell r="B511" t="str">
            <v>МО-36</v>
          </cell>
        </row>
        <row r="512">
          <cell r="A512" t="str">
            <v>Р664КХ72</v>
          </cell>
          <cell r="B512" t="str">
            <v>МО-36</v>
          </cell>
        </row>
        <row r="513">
          <cell r="A513" t="str">
            <v>Р665КХ72</v>
          </cell>
          <cell r="B513" t="str">
            <v>МО-36</v>
          </cell>
        </row>
        <row r="514">
          <cell r="A514" t="str">
            <v>Р666ТВ72</v>
          </cell>
          <cell r="B514" t="str">
            <v>МО-36</v>
          </cell>
        </row>
        <row r="515">
          <cell r="A515" t="str">
            <v>Р748КЕ72</v>
          </cell>
          <cell r="B515" t="str">
            <v>МО-36</v>
          </cell>
        </row>
        <row r="516">
          <cell r="A516" t="str">
            <v>Р766НЕ72</v>
          </cell>
          <cell r="B516" t="str">
            <v>МО-36</v>
          </cell>
        </row>
        <row r="517">
          <cell r="A517" t="str">
            <v>Р857НО72</v>
          </cell>
          <cell r="B517" t="str">
            <v>МО-36</v>
          </cell>
        </row>
        <row r="518">
          <cell r="A518" t="str">
            <v>Р864КМ72</v>
          </cell>
          <cell r="B518" t="str">
            <v>МО-36</v>
          </cell>
        </row>
        <row r="519">
          <cell r="A519" t="str">
            <v>Р930РУ123</v>
          </cell>
          <cell r="B519" t="str">
            <v>МО-36</v>
          </cell>
        </row>
        <row r="520">
          <cell r="A520" t="str">
            <v>Р956ЕТ72</v>
          </cell>
          <cell r="B520" t="str">
            <v>МО-36</v>
          </cell>
        </row>
        <row r="521">
          <cell r="A521" t="str">
            <v>Р958ЕТ72</v>
          </cell>
          <cell r="B521" t="str">
            <v>МО-36</v>
          </cell>
        </row>
        <row r="522">
          <cell r="A522" t="str">
            <v>Р959ВО89</v>
          </cell>
          <cell r="B522" t="str">
            <v>МО-36</v>
          </cell>
        </row>
        <row r="523">
          <cell r="A523" t="str">
            <v>Р965ЕТ72</v>
          </cell>
          <cell r="B523" t="str">
            <v>МО-36</v>
          </cell>
        </row>
        <row r="524">
          <cell r="A524" t="str">
            <v>Р979ВО89</v>
          </cell>
          <cell r="B524" t="str">
            <v>МО-36</v>
          </cell>
        </row>
        <row r="525">
          <cell r="A525" t="str">
            <v>С014ХУ86</v>
          </cell>
          <cell r="B525" t="str">
            <v>МО-36</v>
          </cell>
        </row>
        <row r="526">
          <cell r="A526" t="str">
            <v>С018МХ72</v>
          </cell>
          <cell r="B526" t="str">
            <v>МО-36</v>
          </cell>
        </row>
        <row r="527">
          <cell r="A527" t="str">
            <v>С025УО86</v>
          </cell>
          <cell r="B527" t="str">
            <v>МО-36</v>
          </cell>
        </row>
        <row r="528">
          <cell r="A528" t="str">
            <v>С041ВР89</v>
          </cell>
          <cell r="B528" t="str">
            <v>МО-36</v>
          </cell>
        </row>
        <row r="529">
          <cell r="A529" t="str">
            <v>С047МХ72</v>
          </cell>
          <cell r="B529" t="str">
            <v>МО-36</v>
          </cell>
        </row>
        <row r="530">
          <cell r="A530" t="str">
            <v>С128УА72</v>
          </cell>
          <cell r="B530" t="str">
            <v>МО-36</v>
          </cell>
        </row>
        <row r="531">
          <cell r="A531" t="str">
            <v>С141МН72</v>
          </cell>
          <cell r="B531" t="str">
            <v>МО-36</v>
          </cell>
        </row>
        <row r="532">
          <cell r="A532" t="str">
            <v>С156УА72</v>
          </cell>
          <cell r="B532" t="str">
            <v>МО-36</v>
          </cell>
        </row>
        <row r="533">
          <cell r="A533" t="str">
            <v>С165МН72</v>
          </cell>
          <cell r="B533" t="str">
            <v>МО-36</v>
          </cell>
        </row>
        <row r="534">
          <cell r="A534" t="str">
            <v>С177МН72</v>
          </cell>
          <cell r="B534" t="str">
            <v>МО-36</v>
          </cell>
        </row>
        <row r="535">
          <cell r="A535" t="str">
            <v>С180УО72</v>
          </cell>
          <cell r="B535" t="str">
            <v>МО-36</v>
          </cell>
        </row>
        <row r="536">
          <cell r="A536" t="str">
            <v>С183УА72</v>
          </cell>
          <cell r="B536" t="str">
            <v>МО-36</v>
          </cell>
        </row>
        <row r="537">
          <cell r="A537" t="str">
            <v>С190УА72</v>
          </cell>
          <cell r="B537" t="str">
            <v>МО-36</v>
          </cell>
        </row>
        <row r="538">
          <cell r="A538" t="str">
            <v>С192УА72</v>
          </cell>
          <cell r="B538" t="str">
            <v>МО-36</v>
          </cell>
        </row>
        <row r="539">
          <cell r="A539" t="str">
            <v>С199НУ72</v>
          </cell>
          <cell r="B539" t="str">
            <v>МО-36</v>
          </cell>
        </row>
        <row r="540">
          <cell r="A540" t="str">
            <v>С199УА72</v>
          </cell>
          <cell r="B540" t="str">
            <v>МО-36</v>
          </cell>
        </row>
        <row r="541">
          <cell r="A541" t="str">
            <v>С205МО72</v>
          </cell>
          <cell r="B541" t="str">
            <v>МО-36</v>
          </cell>
        </row>
        <row r="542">
          <cell r="A542" t="str">
            <v>С217МН72</v>
          </cell>
          <cell r="B542" t="str">
            <v>МО-36</v>
          </cell>
        </row>
        <row r="543">
          <cell r="A543" t="str">
            <v>С220МН72</v>
          </cell>
          <cell r="B543" t="str">
            <v>МО-36</v>
          </cell>
        </row>
        <row r="544">
          <cell r="A544" t="str">
            <v>С224ОХ72</v>
          </cell>
          <cell r="B544" t="str">
            <v>МО-36</v>
          </cell>
        </row>
        <row r="545">
          <cell r="A545" t="str">
            <v>С225МН72</v>
          </cell>
          <cell r="B545" t="str">
            <v>МО-36</v>
          </cell>
        </row>
        <row r="546">
          <cell r="A546" t="str">
            <v>С228МН72</v>
          </cell>
          <cell r="B546" t="str">
            <v>МО-36</v>
          </cell>
        </row>
        <row r="547">
          <cell r="A547" t="str">
            <v>С234МН72</v>
          </cell>
          <cell r="B547" t="str">
            <v>МО-36</v>
          </cell>
        </row>
        <row r="548">
          <cell r="A548" t="str">
            <v>С238МН72</v>
          </cell>
          <cell r="B548" t="str">
            <v>МО-36</v>
          </cell>
        </row>
        <row r="549">
          <cell r="A549" t="str">
            <v>С240ОХ72</v>
          </cell>
          <cell r="B549" t="str">
            <v>МО-36</v>
          </cell>
        </row>
        <row r="550">
          <cell r="A550" t="str">
            <v>С241МН72</v>
          </cell>
          <cell r="B550" t="str">
            <v>МО-36</v>
          </cell>
        </row>
        <row r="551">
          <cell r="A551" t="str">
            <v>С243ОХ72</v>
          </cell>
          <cell r="B551" t="str">
            <v>МО-36</v>
          </cell>
        </row>
        <row r="552">
          <cell r="A552" t="str">
            <v>С253ОХ72</v>
          </cell>
          <cell r="B552" t="str">
            <v>МО-36</v>
          </cell>
        </row>
        <row r="553">
          <cell r="A553" t="str">
            <v>с270са72</v>
          </cell>
          <cell r="B553" t="str">
            <v>МО-36</v>
          </cell>
        </row>
        <row r="554">
          <cell r="A554" t="str">
            <v>с271са72</v>
          </cell>
          <cell r="B554" t="str">
            <v>МО-36</v>
          </cell>
        </row>
        <row r="555">
          <cell r="A555" t="str">
            <v>С283ОА72</v>
          </cell>
          <cell r="B555" t="str">
            <v>МО-36</v>
          </cell>
        </row>
        <row r="556">
          <cell r="A556" t="str">
            <v>С299ОА72</v>
          </cell>
          <cell r="B556" t="str">
            <v>МО-36</v>
          </cell>
        </row>
        <row r="557">
          <cell r="A557" t="str">
            <v>С312НЕ125</v>
          </cell>
          <cell r="B557" t="str">
            <v>МО-36</v>
          </cell>
        </row>
        <row r="558">
          <cell r="A558" t="str">
            <v>С320МР72</v>
          </cell>
          <cell r="B558" t="str">
            <v>МО-36</v>
          </cell>
        </row>
        <row r="559">
          <cell r="A559" t="str">
            <v>С335РН72</v>
          </cell>
          <cell r="B559" t="str">
            <v>МО-36</v>
          </cell>
        </row>
        <row r="560">
          <cell r="A560" t="str">
            <v>С339МР72</v>
          </cell>
          <cell r="B560" t="str">
            <v>МО-36</v>
          </cell>
        </row>
        <row r="561">
          <cell r="A561" t="str">
            <v>С358ОА72</v>
          </cell>
          <cell r="B561" t="str">
            <v>МО-36</v>
          </cell>
        </row>
        <row r="562">
          <cell r="A562" t="str">
            <v>С390РН72</v>
          </cell>
          <cell r="B562" t="str">
            <v>МО-36</v>
          </cell>
        </row>
        <row r="563">
          <cell r="A563" t="str">
            <v>С469ТК86</v>
          </cell>
          <cell r="B563" t="str">
            <v>МО-36</v>
          </cell>
        </row>
        <row r="564">
          <cell r="A564" t="str">
            <v>С515СТ86</v>
          </cell>
          <cell r="B564" t="str">
            <v>МО-36</v>
          </cell>
        </row>
        <row r="565">
          <cell r="A565" t="str">
            <v>С560ХС72</v>
          </cell>
          <cell r="B565" t="str">
            <v>МО-36</v>
          </cell>
        </row>
        <row r="566">
          <cell r="A566" t="str">
            <v>С599ХО72</v>
          </cell>
          <cell r="B566" t="str">
            <v>МО-36</v>
          </cell>
        </row>
        <row r="567">
          <cell r="A567" t="str">
            <v>С603ТН72</v>
          </cell>
          <cell r="B567" t="str">
            <v>МО-36</v>
          </cell>
        </row>
        <row r="568">
          <cell r="A568" t="str">
            <v>С615ТН72</v>
          </cell>
          <cell r="B568" t="str">
            <v>МО-36</v>
          </cell>
        </row>
        <row r="569">
          <cell r="A569" t="str">
            <v>С623УЕ72</v>
          </cell>
          <cell r="B569" t="str">
            <v>МО-36</v>
          </cell>
        </row>
        <row r="570">
          <cell r="A570" t="str">
            <v>С661РУ86</v>
          </cell>
          <cell r="B570" t="str">
            <v>МО-36</v>
          </cell>
        </row>
        <row r="571">
          <cell r="A571" t="str">
            <v>С665УЕ72</v>
          </cell>
          <cell r="B571" t="str">
            <v>МО-36</v>
          </cell>
        </row>
        <row r="572">
          <cell r="A572" t="str">
            <v>С687УЕ72</v>
          </cell>
          <cell r="B572" t="str">
            <v>МО-36</v>
          </cell>
        </row>
        <row r="573">
          <cell r="A573" t="str">
            <v>С700УЕ72</v>
          </cell>
          <cell r="B573" t="str">
            <v>МО-36</v>
          </cell>
        </row>
        <row r="574">
          <cell r="A574" t="str">
            <v>С716РН72</v>
          </cell>
          <cell r="B574" t="str">
            <v>МО-36</v>
          </cell>
        </row>
        <row r="575">
          <cell r="A575" t="str">
            <v>С725РН72</v>
          </cell>
          <cell r="B575" t="str">
            <v>МО-36</v>
          </cell>
        </row>
        <row r="576">
          <cell r="A576" t="str">
            <v>С744РН72</v>
          </cell>
          <cell r="B576" t="str">
            <v>МО-36</v>
          </cell>
        </row>
        <row r="577">
          <cell r="A577" t="str">
            <v>С751РН72</v>
          </cell>
          <cell r="B577" t="str">
            <v>МО-36</v>
          </cell>
        </row>
        <row r="578">
          <cell r="A578" t="str">
            <v>С754НК72</v>
          </cell>
          <cell r="B578" t="str">
            <v>МО-36</v>
          </cell>
        </row>
        <row r="579">
          <cell r="A579" t="str">
            <v>С769РН72</v>
          </cell>
          <cell r="B579" t="str">
            <v>МО-36</v>
          </cell>
        </row>
        <row r="580">
          <cell r="A580" t="str">
            <v>С772СТ72</v>
          </cell>
          <cell r="B580" t="str">
            <v>МО-36</v>
          </cell>
        </row>
        <row r="581">
          <cell r="A581" t="str">
            <v>С774РН72</v>
          </cell>
          <cell r="B581" t="str">
            <v>МО-36</v>
          </cell>
        </row>
        <row r="582">
          <cell r="A582" t="str">
            <v>С822РК72</v>
          </cell>
          <cell r="B582" t="str">
            <v>МО-36</v>
          </cell>
        </row>
        <row r="583">
          <cell r="A583" t="str">
            <v>С824НС72</v>
          </cell>
          <cell r="B583" t="str">
            <v>МО-36</v>
          </cell>
        </row>
        <row r="584">
          <cell r="A584" t="str">
            <v>С824РК72</v>
          </cell>
          <cell r="B584" t="str">
            <v>МО-36</v>
          </cell>
        </row>
        <row r="585">
          <cell r="A585" t="str">
            <v>С840НС72</v>
          </cell>
          <cell r="B585" t="str">
            <v>МО-36</v>
          </cell>
        </row>
        <row r="586">
          <cell r="A586" t="str">
            <v>С842НС72</v>
          </cell>
          <cell r="B586" t="str">
            <v>МО-36</v>
          </cell>
        </row>
        <row r="587">
          <cell r="A587" t="str">
            <v>С875РТ72</v>
          </cell>
          <cell r="B587" t="str">
            <v>МО-36</v>
          </cell>
        </row>
        <row r="588">
          <cell r="A588" t="str">
            <v>С880НС72</v>
          </cell>
          <cell r="B588" t="str">
            <v>МО-36</v>
          </cell>
        </row>
        <row r="589">
          <cell r="A589" t="str">
            <v>С881НС72</v>
          </cell>
          <cell r="B589" t="str">
            <v>МО-36</v>
          </cell>
        </row>
        <row r="590">
          <cell r="A590" t="str">
            <v>С884НС72</v>
          </cell>
          <cell r="B590" t="str">
            <v>МО-36</v>
          </cell>
        </row>
        <row r="591">
          <cell r="A591" t="str">
            <v>С886НС72</v>
          </cell>
          <cell r="B591" t="str">
            <v>МО-36</v>
          </cell>
        </row>
        <row r="592">
          <cell r="A592" t="str">
            <v>С887НС72</v>
          </cell>
          <cell r="B592" t="str">
            <v>МО-36</v>
          </cell>
        </row>
        <row r="593">
          <cell r="A593" t="str">
            <v>С888ЕО72</v>
          </cell>
          <cell r="B593" t="str">
            <v>МО-36</v>
          </cell>
        </row>
        <row r="594">
          <cell r="A594" t="str">
            <v>С889СА750</v>
          </cell>
          <cell r="B594" t="str">
            <v>МО-36</v>
          </cell>
        </row>
        <row r="595">
          <cell r="A595" t="str">
            <v>С918РВ72</v>
          </cell>
          <cell r="B595" t="str">
            <v>МО-36</v>
          </cell>
        </row>
        <row r="596">
          <cell r="A596" t="str">
            <v>С924МС72</v>
          </cell>
          <cell r="B596" t="str">
            <v>МО-36</v>
          </cell>
        </row>
        <row r="597">
          <cell r="A597" t="str">
            <v>С929РК72</v>
          </cell>
          <cell r="B597" t="str">
            <v>МО-36</v>
          </cell>
        </row>
        <row r="598">
          <cell r="A598" t="str">
            <v>С959ХО72</v>
          </cell>
          <cell r="B598" t="str">
            <v>МО-36</v>
          </cell>
        </row>
        <row r="599">
          <cell r="A599" t="str">
            <v>С976ХТ72</v>
          </cell>
          <cell r="B599" t="str">
            <v>МО-36</v>
          </cell>
        </row>
        <row r="600">
          <cell r="A600" t="str">
            <v>С991УО72</v>
          </cell>
          <cell r="B600" t="str">
            <v>МО-36</v>
          </cell>
        </row>
        <row r="601">
          <cell r="A601" t="str">
            <v>Т015СТ72</v>
          </cell>
          <cell r="B601" t="str">
            <v>МО-36</v>
          </cell>
        </row>
        <row r="602">
          <cell r="A602" t="str">
            <v>Т051СС72</v>
          </cell>
          <cell r="B602" t="str">
            <v>МО-36</v>
          </cell>
        </row>
        <row r="603">
          <cell r="A603" t="str">
            <v>Т052СС72</v>
          </cell>
          <cell r="B603" t="str">
            <v>МО-36</v>
          </cell>
        </row>
        <row r="604">
          <cell r="A604" t="str">
            <v>Т053СС72</v>
          </cell>
          <cell r="B604" t="str">
            <v>МО-36</v>
          </cell>
        </row>
        <row r="605">
          <cell r="A605" t="str">
            <v>Т087ХУ72</v>
          </cell>
          <cell r="B605" t="str">
            <v>МО-36</v>
          </cell>
        </row>
        <row r="606">
          <cell r="A606" t="str">
            <v>Т115РР72</v>
          </cell>
          <cell r="B606" t="str">
            <v>МО-36</v>
          </cell>
        </row>
        <row r="607">
          <cell r="A607" t="str">
            <v>Т129ЕА72</v>
          </cell>
          <cell r="B607" t="str">
            <v>МО-36</v>
          </cell>
        </row>
        <row r="608">
          <cell r="A608" t="str">
            <v>Т171НМ125</v>
          </cell>
          <cell r="B608" t="str">
            <v>МО-36</v>
          </cell>
        </row>
        <row r="609">
          <cell r="A609" t="str">
            <v>Т188РН72</v>
          </cell>
          <cell r="B609" t="str">
            <v>МО-36</v>
          </cell>
        </row>
        <row r="610">
          <cell r="A610" t="str">
            <v>Т199УА72</v>
          </cell>
          <cell r="B610" t="str">
            <v>МО-36</v>
          </cell>
        </row>
        <row r="611">
          <cell r="A611" t="str">
            <v>Т243РН72</v>
          </cell>
          <cell r="B611" t="str">
            <v>МО-36</v>
          </cell>
        </row>
        <row r="612">
          <cell r="A612" t="str">
            <v>Т251РН72</v>
          </cell>
          <cell r="B612" t="str">
            <v>МО-36</v>
          </cell>
        </row>
        <row r="613">
          <cell r="A613" t="str">
            <v>Т252РН86</v>
          </cell>
          <cell r="B613" t="str">
            <v>МО-36</v>
          </cell>
        </row>
        <row r="614">
          <cell r="A614" t="str">
            <v>Т254РН72</v>
          </cell>
          <cell r="B614" t="str">
            <v>МО-36</v>
          </cell>
        </row>
        <row r="615">
          <cell r="A615" t="str">
            <v>Т400</v>
          </cell>
          <cell r="B615" t="str">
            <v>МО-36</v>
          </cell>
        </row>
        <row r="616">
          <cell r="A616" t="str">
            <v>Т400УС72</v>
          </cell>
          <cell r="B616" t="str">
            <v>МО-36</v>
          </cell>
        </row>
        <row r="617">
          <cell r="A617" t="str">
            <v>Т434СО72</v>
          </cell>
          <cell r="B617" t="str">
            <v>МО-36</v>
          </cell>
        </row>
        <row r="618">
          <cell r="A618" t="str">
            <v>Т443ВК89</v>
          </cell>
          <cell r="B618" t="str">
            <v>МО-36</v>
          </cell>
        </row>
        <row r="619">
          <cell r="A619" t="str">
            <v>Т499ХВ72</v>
          </cell>
          <cell r="B619" t="str">
            <v>МО-36</v>
          </cell>
        </row>
        <row r="620">
          <cell r="A620" t="str">
            <v>Т608МС72</v>
          </cell>
          <cell r="B620" t="str">
            <v>МО-36</v>
          </cell>
        </row>
        <row r="621">
          <cell r="A621" t="str">
            <v>Т685МС72</v>
          </cell>
          <cell r="B621" t="str">
            <v>МО-36</v>
          </cell>
        </row>
        <row r="622">
          <cell r="A622" t="str">
            <v>Т713КХ123</v>
          </cell>
          <cell r="B622" t="str">
            <v>МО-36</v>
          </cell>
        </row>
        <row r="623">
          <cell r="A623" t="str">
            <v>Т858УТ72</v>
          </cell>
          <cell r="B623" t="str">
            <v>МО-36</v>
          </cell>
        </row>
        <row r="624">
          <cell r="A624" t="str">
            <v>Т881ТУ86</v>
          </cell>
          <cell r="B624" t="str">
            <v>МО-36</v>
          </cell>
        </row>
        <row r="625">
          <cell r="A625" t="str">
            <v>Т903РХ72</v>
          </cell>
          <cell r="B625" t="str">
            <v>МО-36</v>
          </cell>
        </row>
        <row r="626">
          <cell r="A626" t="str">
            <v>Т925КР72</v>
          </cell>
          <cell r="B626" t="str">
            <v>МО-36</v>
          </cell>
        </row>
        <row r="627">
          <cell r="A627" t="str">
            <v>У039АХ186</v>
          </cell>
          <cell r="B627" t="str">
            <v>МО-36</v>
          </cell>
        </row>
        <row r="628">
          <cell r="A628" t="str">
            <v>У080МХ72</v>
          </cell>
          <cell r="B628" t="str">
            <v>МО-36</v>
          </cell>
        </row>
        <row r="629">
          <cell r="A629" t="str">
            <v>У089МС72</v>
          </cell>
          <cell r="B629" t="str">
            <v>МО-36</v>
          </cell>
        </row>
        <row r="630">
          <cell r="A630" t="str">
            <v>У146МА72</v>
          </cell>
          <cell r="B630" t="str">
            <v>МО-36</v>
          </cell>
        </row>
        <row r="631">
          <cell r="A631" t="str">
            <v>У183НО799</v>
          </cell>
          <cell r="B631" t="str">
            <v>МО-36</v>
          </cell>
        </row>
        <row r="632">
          <cell r="A632" t="str">
            <v>У192ЕН72</v>
          </cell>
          <cell r="B632" t="str">
            <v>МО-36</v>
          </cell>
        </row>
        <row r="633">
          <cell r="A633" t="str">
            <v>У195ЕН72</v>
          </cell>
          <cell r="B633" t="str">
            <v>МО-36</v>
          </cell>
        </row>
        <row r="634">
          <cell r="A634" t="str">
            <v>У235УС72</v>
          </cell>
          <cell r="B634" t="str">
            <v>МО-36</v>
          </cell>
        </row>
        <row r="635">
          <cell r="A635" t="str">
            <v>У274УТ72</v>
          </cell>
          <cell r="B635" t="str">
            <v>МО-36</v>
          </cell>
        </row>
        <row r="636">
          <cell r="A636" t="str">
            <v>У291СХ86</v>
          </cell>
          <cell r="B636" t="str">
            <v>МО-36</v>
          </cell>
        </row>
        <row r="637">
          <cell r="A637" t="str">
            <v>У293CХ86</v>
          </cell>
          <cell r="B637" t="str">
            <v>МО-36</v>
          </cell>
        </row>
        <row r="638">
          <cell r="A638" t="str">
            <v>У398РА72</v>
          </cell>
          <cell r="B638" t="str">
            <v>МО-36</v>
          </cell>
        </row>
        <row r="639">
          <cell r="A639" t="str">
            <v>У399РА72</v>
          </cell>
          <cell r="B639" t="str">
            <v>МО-36</v>
          </cell>
        </row>
        <row r="640">
          <cell r="A640" t="str">
            <v>У422ХМ72</v>
          </cell>
          <cell r="B640" t="str">
            <v>МО-36</v>
          </cell>
        </row>
        <row r="641">
          <cell r="A641" t="str">
            <v>У469УК72</v>
          </cell>
          <cell r="B641" t="str">
            <v>МО-36</v>
          </cell>
        </row>
        <row r="642">
          <cell r="A642" t="str">
            <v>У484ХС86</v>
          </cell>
          <cell r="B642" t="str">
            <v>МО-36</v>
          </cell>
        </row>
        <row r="643">
          <cell r="A643" t="str">
            <v>У513ХО72</v>
          </cell>
          <cell r="B643" t="str">
            <v>МО-36</v>
          </cell>
        </row>
        <row r="644">
          <cell r="A644" t="str">
            <v>У536ХЕ72</v>
          </cell>
          <cell r="B644" t="str">
            <v>МО-36</v>
          </cell>
        </row>
        <row r="645">
          <cell r="A645" t="str">
            <v>У557ТО174</v>
          </cell>
          <cell r="B645" t="str">
            <v>МО-36</v>
          </cell>
        </row>
        <row r="646">
          <cell r="A646" t="str">
            <v>У705ОЕ72</v>
          </cell>
          <cell r="B646" t="str">
            <v>МО-36</v>
          </cell>
        </row>
        <row r="647">
          <cell r="A647" t="str">
            <v>У791КА750</v>
          </cell>
          <cell r="B647" t="str">
            <v>МО-36</v>
          </cell>
        </row>
        <row r="648">
          <cell r="A648" t="str">
            <v>У807ХК72</v>
          </cell>
          <cell r="B648" t="str">
            <v>МО-36</v>
          </cell>
        </row>
        <row r="649">
          <cell r="A649" t="str">
            <v>У827ХО72</v>
          </cell>
          <cell r="B649" t="str">
            <v>МО-36</v>
          </cell>
        </row>
        <row r="650">
          <cell r="A650" t="str">
            <v>У840ЕЕ72</v>
          </cell>
          <cell r="B650" t="str">
            <v>МО-36</v>
          </cell>
        </row>
        <row r="651">
          <cell r="A651" t="str">
            <v>У855МО72</v>
          </cell>
          <cell r="B651" t="str">
            <v>МО-36</v>
          </cell>
        </row>
        <row r="652">
          <cell r="A652" t="str">
            <v>У876ХН72</v>
          </cell>
          <cell r="B652" t="str">
            <v>МО-36</v>
          </cell>
        </row>
        <row r="653">
          <cell r="A653" t="str">
            <v>У945ХЕ72</v>
          </cell>
          <cell r="B653" t="str">
            <v>МО-36</v>
          </cell>
        </row>
        <row r="654">
          <cell r="A654" t="str">
            <v>У971ХН72</v>
          </cell>
          <cell r="B654" t="str">
            <v>МО-36</v>
          </cell>
        </row>
        <row r="655">
          <cell r="A655" t="str">
            <v>Х009ХН86</v>
          </cell>
          <cell r="B655" t="str">
            <v>МО-36</v>
          </cell>
        </row>
        <row r="656">
          <cell r="A656" t="str">
            <v>Х113УО86</v>
          </cell>
          <cell r="B656" t="str">
            <v>МО-36</v>
          </cell>
        </row>
        <row r="657">
          <cell r="A657" t="str">
            <v>Х207УС86</v>
          </cell>
          <cell r="B657" t="str">
            <v>МО-36</v>
          </cell>
        </row>
        <row r="658">
          <cell r="A658" t="str">
            <v>Х345РК86</v>
          </cell>
          <cell r="B658" t="str">
            <v>МО-36</v>
          </cell>
        </row>
        <row r="659">
          <cell r="A659" t="str">
            <v>Х532СХ86</v>
          </cell>
          <cell r="B659" t="str">
            <v>МО-36</v>
          </cell>
        </row>
        <row r="660">
          <cell r="A660" t="str">
            <v>Х595ОР86</v>
          </cell>
          <cell r="B660" t="str">
            <v>МО-36</v>
          </cell>
        </row>
        <row r="661">
          <cell r="A661" t="str">
            <v>Х642РС72</v>
          </cell>
          <cell r="B661" t="str">
            <v>МО-36</v>
          </cell>
        </row>
        <row r="662">
          <cell r="A662" t="str">
            <v>Х643РС72</v>
          </cell>
          <cell r="B662" t="str">
            <v>МО-87</v>
          </cell>
        </row>
        <row r="663">
          <cell r="A663" t="str">
            <v>Х644РС72</v>
          </cell>
          <cell r="B663" t="str">
            <v>МО-36</v>
          </cell>
        </row>
        <row r="664">
          <cell r="A664" t="str">
            <v>Х884ХА86</v>
          </cell>
          <cell r="B664" t="str">
            <v>МО-36</v>
          </cell>
        </row>
        <row r="665">
          <cell r="A665">
            <v>0</v>
          </cell>
          <cell r="B665" t="str">
            <v>МО-36</v>
          </cell>
        </row>
        <row r="666">
          <cell r="A666">
            <v>1</v>
          </cell>
          <cell r="B666" t="str">
            <v>МО-36</v>
          </cell>
        </row>
        <row r="667">
          <cell r="A667" t="str">
            <v>0139ТО72</v>
          </cell>
          <cell r="B667" t="str">
            <v>МО-36</v>
          </cell>
        </row>
        <row r="668">
          <cell r="A668" t="str">
            <v>0543ТА72</v>
          </cell>
          <cell r="B668" t="str">
            <v>МО-36</v>
          </cell>
        </row>
        <row r="669">
          <cell r="A669" t="str">
            <v>0544ТА72</v>
          </cell>
          <cell r="B669" t="str">
            <v>МО-36</v>
          </cell>
        </row>
        <row r="670">
          <cell r="A670">
            <v>546</v>
          </cell>
          <cell r="B670" t="str">
            <v>МО-36</v>
          </cell>
        </row>
        <row r="671">
          <cell r="A671" t="str">
            <v>0565ВА89</v>
          </cell>
          <cell r="B671" t="str">
            <v>МО-36</v>
          </cell>
        </row>
        <row r="672">
          <cell r="A672" t="str">
            <v>0566ВА89</v>
          </cell>
          <cell r="B672" t="str">
            <v>МО-36</v>
          </cell>
        </row>
        <row r="673">
          <cell r="A673" t="str">
            <v>0609АХ72</v>
          </cell>
          <cell r="B673" t="str">
            <v>МО-36</v>
          </cell>
        </row>
        <row r="674">
          <cell r="A674" t="str">
            <v>0811АХ72</v>
          </cell>
          <cell r="B674" t="str">
            <v>МО-36</v>
          </cell>
        </row>
        <row r="675">
          <cell r="A675" t="str">
            <v>0812АХ72</v>
          </cell>
          <cell r="B675" t="str">
            <v>МО-36</v>
          </cell>
        </row>
        <row r="676">
          <cell r="A676">
            <v>864</v>
          </cell>
          <cell r="B676" t="str">
            <v>МО-36</v>
          </cell>
        </row>
        <row r="677">
          <cell r="A677">
            <v>925</v>
          </cell>
          <cell r="B677" t="str">
            <v>МО-36</v>
          </cell>
        </row>
        <row r="678">
          <cell r="A678" t="str">
            <v>0934ТО72</v>
          </cell>
          <cell r="B678" t="str">
            <v>МО-36</v>
          </cell>
        </row>
        <row r="679">
          <cell r="A679" t="str">
            <v>0945ТО72</v>
          </cell>
          <cell r="B679" t="str">
            <v>МО-36</v>
          </cell>
        </row>
        <row r="680">
          <cell r="A680" t="str">
            <v>0946ТО72</v>
          </cell>
          <cell r="B680" t="str">
            <v>МО-36</v>
          </cell>
        </row>
        <row r="681">
          <cell r="A681" t="str">
            <v>1073ТР72</v>
          </cell>
          <cell r="B681" t="str">
            <v>МО-36</v>
          </cell>
        </row>
        <row r="682">
          <cell r="A682">
            <v>11</v>
          </cell>
          <cell r="B682" t="str">
            <v>МО-36</v>
          </cell>
        </row>
        <row r="683">
          <cell r="A683">
            <v>1120</v>
          </cell>
          <cell r="B683" t="str">
            <v>МО-36</v>
          </cell>
        </row>
        <row r="684">
          <cell r="A684">
            <v>1121</v>
          </cell>
          <cell r="B684" t="str">
            <v>МО-36</v>
          </cell>
        </row>
        <row r="685">
          <cell r="A685">
            <v>1130</v>
          </cell>
          <cell r="B685" t="str">
            <v>МО-36</v>
          </cell>
        </row>
        <row r="686">
          <cell r="A686">
            <v>11326</v>
          </cell>
          <cell r="B686" t="str">
            <v>МО-36</v>
          </cell>
        </row>
        <row r="687">
          <cell r="A687">
            <v>11348</v>
          </cell>
          <cell r="B687" t="str">
            <v>МО-36</v>
          </cell>
        </row>
        <row r="688">
          <cell r="A688">
            <v>11365</v>
          </cell>
          <cell r="B688" t="str">
            <v>МО-36</v>
          </cell>
        </row>
        <row r="689">
          <cell r="A689">
            <v>11413</v>
          </cell>
          <cell r="B689" t="str">
            <v>МО-36</v>
          </cell>
        </row>
        <row r="690">
          <cell r="A690">
            <v>1215</v>
          </cell>
          <cell r="B690" t="str">
            <v>МО-36</v>
          </cell>
        </row>
        <row r="691">
          <cell r="A691">
            <v>1216</v>
          </cell>
          <cell r="B691" t="str">
            <v>МО-36</v>
          </cell>
        </row>
        <row r="692">
          <cell r="A692">
            <v>1217</v>
          </cell>
          <cell r="B692" t="str">
            <v>МО-36</v>
          </cell>
        </row>
        <row r="693">
          <cell r="A693">
            <v>13002556</v>
          </cell>
          <cell r="B693" t="str">
            <v>МО-36</v>
          </cell>
        </row>
        <row r="694">
          <cell r="A694">
            <v>1307</v>
          </cell>
          <cell r="B694" t="str">
            <v>МО-36</v>
          </cell>
        </row>
        <row r="695">
          <cell r="A695">
            <v>1328</v>
          </cell>
          <cell r="B695" t="str">
            <v>МО-36</v>
          </cell>
        </row>
        <row r="696">
          <cell r="A696">
            <v>1332</v>
          </cell>
          <cell r="B696" t="str">
            <v>МО-36</v>
          </cell>
        </row>
        <row r="697">
          <cell r="A697">
            <v>1333</v>
          </cell>
          <cell r="B697" t="str">
            <v>МО-36</v>
          </cell>
        </row>
        <row r="698">
          <cell r="A698">
            <v>1334</v>
          </cell>
          <cell r="B698" t="str">
            <v>МО-36</v>
          </cell>
        </row>
        <row r="699">
          <cell r="A699">
            <v>1336</v>
          </cell>
          <cell r="B699" t="str">
            <v>МО-36</v>
          </cell>
        </row>
        <row r="700">
          <cell r="A700">
            <v>1337</v>
          </cell>
          <cell r="B700" t="str">
            <v>МО-36</v>
          </cell>
        </row>
        <row r="701">
          <cell r="A701">
            <v>1348</v>
          </cell>
          <cell r="B701" t="str">
            <v>МО-36</v>
          </cell>
        </row>
        <row r="702">
          <cell r="A702">
            <v>1367</v>
          </cell>
          <cell r="B702" t="str">
            <v>МО-36</v>
          </cell>
        </row>
        <row r="703">
          <cell r="A703">
            <v>1369</v>
          </cell>
          <cell r="B703" t="str">
            <v>МО-36</v>
          </cell>
        </row>
        <row r="704">
          <cell r="A704">
            <v>1370</v>
          </cell>
          <cell r="B704" t="str">
            <v>МО-36</v>
          </cell>
        </row>
        <row r="705">
          <cell r="A705" t="str">
            <v>1371ТО72</v>
          </cell>
          <cell r="B705" t="str">
            <v>МО-36</v>
          </cell>
        </row>
        <row r="706">
          <cell r="A706">
            <v>1394</v>
          </cell>
          <cell r="B706" t="str">
            <v>МО-36</v>
          </cell>
        </row>
        <row r="707">
          <cell r="A707">
            <v>1396</v>
          </cell>
          <cell r="B707" t="str">
            <v>МО-36</v>
          </cell>
        </row>
        <row r="708">
          <cell r="A708">
            <v>1443</v>
          </cell>
          <cell r="B708" t="str">
            <v>МО-36</v>
          </cell>
        </row>
        <row r="709">
          <cell r="A709">
            <v>1447</v>
          </cell>
          <cell r="B709" t="str">
            <v>МО-36</v>
          </cell>
        </row>
        <row r="710">
          <cell r="A710">
            <v>1448</v>
          </cell>
          <cell r="B710" t="str">
            <v>МО-36</v>
          </cell>
        </row>
        <row r="711">
          <cell r="A711">
            <v>1453</v>
          </cell>
          <cell r="B711" t="str">
            <v>МО-36</v>
          </cell>
        </row>
        <row r="712">
          <cell r="A712" t="str">
            <v>1453ТК72</v>
          </cell>
          <cell r="B712" t="str">
            <v>МО-36</v>
          </cell>
        </row>
        <row r="713">
          <cell r="A713">
            <v>1465</v>
          </cell>
          <cell r="B713" t="str">
            <v>МО-36</v>
          </cell>
        </row>
        <row r="714">
          <cell r="A714" t="str">
            <v>1465ХК86</v>
          </cell>
          <cell r="B714" t="str">
            <v>МО-36</v>
          </cell>
        </row>
        <row r="715">
          <cell r="A715">
            <v>1467</v>
          </cell>
          <cell r="B715" t="str">
            <v>МО-36</v>
          </cell>
        </row>
        <row r="716">
          <cell r="A716" t="str">
            <v>1467/2</v>
          </cell>
          <cell r="B716" t="str">
            <v>МО-36</v>
          </cell>
        </row>
        <row r="717">
          <cell r="A717">
            <v>1472</v>
          </cell>
          <cell r="B717" t="str">
            <v>МО-36</v>
          </cell>
        </row>
        <row r="718">
          <cell r="A718" t="str">
            <v>1473A</v>
          </cell>
          <cell r="B718" t="str">
            <v>МО-36</v>
          </cell>
        </row>
        <row r="719">
          <cell r="A719">
            <v>1478</v>
          </cell>
          <cell r="B719" t="str">
            <v>МО-36</v>
          </cell>
        </row>
        <row r="720">
          <cell r="A720">
            <v>148</v>
          </cell>
          <cell r="B720" t="str">
            <v>МО-36</v>
          </cell>
        </row>
        <row r="721">
          <cell r="A721" t="str">
            <v>1500ВА72</v>
          </cell>
          <cell r="B721" t="str">
            <v>МО-36</v>
          </cell>
        </row>
        <row r="722">
          <cell r="A722">
            <v>15000</v>
          </cell>
          <cell r="B722" t="str">
            <v>МО-36</v>
          </cell>
        </row>
        <row r="723">
          <cell r="A723">
            <v>1509</v>
          </cell>
          <cell r="B723" t="str">
            <v>МО-36</v>
          </cell>
        </row>
        <row r="724">
          <cell r="A724">
            <v>1513</v>
          </cell>
          <cell r="B724" t="str">
            <v>МО-36</v>
          </cell>
        </row>
        <row r="725">
          <cell r="A725">
            <v>1517</v>
          </cell>
          <cell r="B725" t="str">
            <v>МО-36</v>
          </cell>
        </row>
        <row r="726">
          <cell r="A726">
            <v>1518</v>
          </cell>
          <cell r="B726" t="str">
            <v>МО-36</v>
          </cell>
        </row>
        <row r="727">
          <cell r="A727">
            <v>1519</v>
          </cell>
          <cell r="B727" t="str">
            <v>МО-36</v>
          </cell>
        </row>
        <row r="728">
          <cell r="A728" t="str">
            <v>1557АС86</v>
          </cell>
          <cell r="B728" t="str">
            <v>МО-36</v>
          </cell>
        </row>
        <row r="729">
          <cell r="A729" t="str">
            <v>1669ОА72</v>
          </cell>
          <cell r="B729" t="str">
            <v>МО-36</v>
          </cell>
        </row>
        <row r="730">
          <cell r="A730" t="str">
            <v>1715АХ72</v>
          </cell>
          <cell r="B730" t="str">
            <v>МО-36</v>
          </cell>
        </row>
        <row r="731">
          <cell r="A731" t="str">
            <v>1716АХ72</v>
          </cell>
          <cell r="B731" t="str">
            <v>МО-36</v>
          </cell>
        </row>
        <row r="732">
          <cell r="A732" t="str">
            <v>1766ОВ72</v>
          </cell>
          <cell r="B732" t="str">
            <v>МО-36</v>
          </cell>
        </row>
        <row r="733">
          <cell r="A733">
            <v>1784</v>
          </cell>
          <cell r="B733" t="str">
            <v>МО-36</v>
          </cell>
        </row>
        <row r="734">
          <cell r="A734" t="str">
            <v>1796ТК72</v>
          </cell>
          <cell r="B734" t="str">
            <v>МО-36</v>
          </cell>
        </row>
        <row r="735">
          <cell r="A735" t="str">
            <v>1798ОВ72</v>
          </cell>
          <cell r="B735" t="str">
            <v>МО-36</v>
          </cell>
        </row>
        <row r="736">
          <cell r="A736" t="str">
            <v>1799ОВ72</v>
          </cell>
          <cell r="B736" t="str">
            <v>МО-36</v>
          </cell>
        </row>
        <row r="737">
          <cell r="A737">
            <v>180</v>
          </cell>
          <cell r="B737" t="str">
            <v>МО-36</v>
          </cell>
        </row>
        <row r="738">
          <cell r="A738">
            <v>181</v>
          </cell>
          <cell r="B738" t="str">
            <v>МО-36</v>
          </cell>
        </row>
        <row r="739">
          <cell r="A739" t="str">
            <v>1849ТО72</v>
          </cell>
          <cell r="B739" t="str">
            <v>МО-36</v>
          </cell>
        </row>
        <row r="740">
          <cell r="A740" t="str">
            <v>1861ТО72</v>
          </cell>
          <cell r="B740" t="str">
            <v>МО-36</v>
          </cell>
        </row>
        <row r="741">
          <cell r="A741" t="str">
            <v>1882ТО72</v>
          </cell>
          <cell r="B741" t="str">
            <v>МО-36</v>
          </cell>
        </row>
        <row r="742">
          <cell r="A742">
            <v>1889</v>
          </cell>
          <cell r="B742" t="str">
            <v>МО-36</v>
          </cell>
        </row>
        <row r="743">
          <cell r="A743" t="str">
            <v>1913ТА72</v>
          </cell>
          <cell r="B743" t="str">
            <v>МО-36</v>
          </cell>
        </row>
        <row r="744">
          <cell r="A744" t="str">
            <v>1914ТА72</v>
          </cell>
          <cell r="B744" t="str">
            <v>МО-36</v>
          </cell>
        </row>
        <row r="745">
          <cell r="A745" t="str">
            <v>1934НА86</v>
          </cell>
          <cell r="B745" t="str">
            <v>МО-36</v>
          </cell>
        </row>
        <row r="746">
          <cell r="A746" t="str">
            <v>1934ОА72</v>
          </cell>
          <cell r="B746" t="str">
            <v>МО-36</v>
          </cell>
        </row>
        <row r="747">
          <cell r="A747" t="str">
            <v>1946ТУ72</v>
          </cell>
          <cell r="B747" t="str">
            <v>МО-36</v>
          </cell>
        </row>
        <row r="748">
          <cell r="A748">
            <v>1993</v>
          </cell>
          <cell r="B748" t="str">
            <v>МО-36</v>
          </cell>
        </row>
        <row r="749">
          <cell r="A749">
            <v>2004</v>
          </cell>
          <cell r="B749" t="str">
            <v>МО-36</v>
          </cell>
        </row>
        <row r="750">
          <cell r="A750">
            <v>2010</v>
          </cell>
          <cell r="B750" t="str">
            <v>МО-36</v>
          </cell>
        </row>
        <row r="751">
          <cell r="A751">
            <v>2011</v>
          </cell>
          <cell r="B751" t="str">
            <v>МО-36</v>
          </cell>
        </row>
        <row r="752">
          <cell r="A752">
            <v>20136</v>
          </cell>
          <cell r="B752" t="str">
            <v>МО-36</v>
          </cell>
        </row>
        <row r="753">
          <cell r="A753">
            <v>20160</v>
          </cell>
          <cell r="B753" t="str">
            <v>МО-36</v>
          </cell>
        </row>
        <row r="754">
          <cell r="A754">
            <v>20161</v>
          </cell>
          <cell r="B754" t="str">
            <v>МО-36</v>
          </cell>
        </row>
        <row r="755">
          <cell r="A755">
            <v>20162</v>
          </cell>
          <cell r="B755" t="str">
            <v>МО-36</v>
          </cell>
        </row>
        <row r="756">
          <cell r="A756">
            <v>2041</v>
          </cell>
          <cell r="B756" t="str">
            <v>МО-36</v>
          </cell>
        </row>
        <row r="757">
          <cell r="A757">
            <v>2042</v>
          </cell>
          <cell r="B757" t="str">
            <v>МО-36</v>
          </cell>
        </row>
        <row r="758">
          <cell r="A758">
            <v>2050</v>
          </cell>
          <cell r="B758" t="str">
            <v>МО-36</v>
          </cell>
        </row>
        <row r="759">
          <cell r="A759" t="str">
            <v>2069АР86</v>
          </cell>
          <cell r="B759" t="str">
            <v>МО-36</v>
          </cell>
        </row>
        <row r="760">
          <cell r="A760" t="str">
            <v>2070АР86</v>
          </cell>
          <cell r="B760" t="str">
            <v>МО-36</v>
          </cell>
        </row>
        <row r="761">
          <cell r="A761" t="str">
            <v>2120АУ72</v>
          </cell>
          <cell r="B761" t="str">
            <v>МО-36</v>
          </cell>
        </row>
        <row r="762">
          <cell r="A762">
            <v>2131</v>
          </cell>
          <cell r="B762" t="str">
            <v>МО-36</v>
          </cell>
        </row>
        <row r="763">
          <cell r="A763">
            <v>2138</v>
          </cell>
          <cell r="B763" t="str">
            <v>МО-36</v>
          </cell>
        </row>
        <row r="764">
          <cell r="A764">
            <v>2169</v>
          </cell>
          <cell r="B764" t="str">
            <v>МО-36</v>
          </cell>
        </row>
        <row r="765">
          <cell r="A765">
            <v>2227</v>
          </cell>
          <cell r="B765" t="str">
            <v>МО-36</v>
          </cell>
        </row>
        <row r="766">
          <cell r="A766" t="str">
            <v>2248АР86</v>
          </cell>
          <cell r="B766" t="str">
            <v>МО-36</v>
          </cell>
        </row>
        <row r="767">
          <cell r="A767">
            <v>2282</v>
          </cell>
          <cell r="B767" t="str">
            <v>МО-36</v>
          </cell>
        </row>
        <row r="768">
          <cell r="A768">
            <v>2283</v>
          </cell>
          <cell r="B768" t="str">
            <v>МО-36</v>
          </cell>
        </row>
        <row r="769">
          <cell r="A769">
            <v>2284</v>
          </cell>
          <cell r="B769" t="str">
            <v>МО-36</v>
          </cell>
        </row>
        <row r="770">
          <cell r="A770">
            <v>2285</v>
          </cell>
          <cell r="B770" t="str">
            <v>МО-36</v>
          </cell>
        </row>
        <row r="771">
          <cell r="A771">
            <v>2286</v>
          </cell>
          <cell r="B771" t="str">
            <v>МО-36</v>
          </cell>
        </row>
        <row r="772">
          <cell r="A772">
            <v>2287</v>
          </cell>
          <cell r="B772" t="str">
            <v>МО-36</v>
          </cell>
        </row>
        <row r="773">
          <cell r="A773">
            <v>2288</v>
          </cell>
          <cell r="B773" t="str">
            <v>МО-36</v>
          </cell>
        </row>
        <row r="774">
          <cell r="A774">
            <v>2289</v>
          </cell>
          <cell r="B774" t="str">
            <v>МО-36</v>
          </cell>
        </row>
        <row r="775">
          <cell r="A775">
            <v>2290</v>
          </cell>
          <cell r="B775" t="str">
            <v>МО-36</v>
          </cell>
        </row>
        <row r="776">
          <cell r="A776" t="str">
            <v>2323ТО72</v>
          </cell>
          <cell r="B776" t="str">
            <v>МО-36</v>
          </cell>
        </row>
        <row r="777">
          <cell r="A777">
            <v>2422</v>
          </cell>
          <cell r="B777" t="str">
            <v>МО-36</v>
          </cell>
        </row>
        <row r="778">
          <cell r="A778">
            <v>2468</v>
          </cell>
          <cell r="B778" t="str">
            <v>МО-36</v>
          </cell>
        </row>
        <row r="779">
          <cell r="A779">
            <v>2556</v>
          </cell>
          <cell r="B779" t="str">
            <v>МО-36</v>
          </cell>
        </row>
        <row r="780">
          <cell r="A780">
            <v>2582</v>
          </cell>
          <cell r="B780" t="str">
            <v>МО-36</v>
          </cell>
        </row>
        <row r="781">
          <cell r="A781">
            <v>2585</v>
          </cell>
          <cell r="B781" t="str">
            <v>МО-36</v>
          </cell>
        </row>
        <row r="782">
          <cell r="A782">
            <v>2586</v>
          </cell>
          <cell r="B782" t="str">
            <v>МО-36</v>
          </cell>
        </row>
        <row r="783">
          <cell r="A783">
            <v>2618</v>
          </cell>
          <cell r="B783" t="str">
            <v>МО-36</v>
          </cell>
        </row>
        <row r="784">
          <cell r="A784">
            <v>2650</v>
          </cell>
          <cell r="B784" t="str">
            <v>МО-36</v>
          </cell>
        </row>
        <row r="785">
          <cell r="A785">
            <v>2651</v>
          </cell>
          <cell r="B785" t="str">
            <v>МО-36</v>
          </cell>
        </row>
        <row r="786">
          <cell r="A786" t="str">
            <v>2658АУ72</v>
          </cell>
          <cell r="B786" t="str">
            <v>МО-36</v>
          </cell>
        </row>
        <row r="787">
          <cell r="A787">
            <v>2676</v>
          </cell>
          <cell r="B787" t="str">
            <v>МО-36</v>
          </cell>
        </row>
        <row r="788">
          <cell r="A788">
            <v>2702</v>
          </cell>
          <cell r="B788" t="str">
            <v>МО-36</v>
          </cell>
        </row>
        <row r="789">
          <cell r="A789">
            <v>2703</v>
          </cell>
          <cell r="B789" t="str">
            <v>МО-36</v>
          </cell>
        </row>
        <row r="790">
          <cell r="A790">
            <v>2704</v>
          </cell>
          <cell r="B790" t="str">
            <v>МО-36</v>
          </cell>
        </row>
        <row r="791">
          <cell r="A791">
            <v>2723</v>
          </cell>
          <cell r="B791" t="str">
            <v>МО-36</v>
          </cell>
        </row>
        <row r="792">
          <cell r="A792">
            <v>2742</v>
          </cell>
          <cell r="B792" t="str">
            <v>МО-36</v>
          </cell>
        </row>
        <row r="793">
          <cell r="A793">
            <v>275</v>
          </cell>
          <cell r="B793" t="str">
            <v>МО-36</v>
          </cell>
        </row>
        <row r="794">
          <cell r="A794">
            <v>2806</v>
          </cell>
          <cell r="B794" t="str">
            <v>МО-36</v>
          </cell>
        </row>
        <row r="795">
          <cell r="A795">
            <v>2809</v>
          </cell>
          <cell r="B795" t="str">
            <v>МО-36</v>
          </cell>
        </row>
        <row r="796">
          <cell r="A796">
            <v>2811</v>
          </cell>
          <cell r="B796" t="str">
            <v>МО-36</v>
          </cell>
        </row>
        <row r="797">
          <cell r="A797">
            <v>28151</v>
          </cell>
          <cell r="B797" t="str">
            <v>МО-36</v>
          </cell>
        </row>
        <row r="798">
          <cell r="A798">
            <v>28152</v>
          </cell>
          <cell r="B798" t="str">
            <v>МО-36</v>
          </cell>
        </row>
        <row r="799">
          <cell r="A799">
            <v>28184</v>
          </cell>
          <cell r="B799" t="str">
            <v>МО-36</v>
          </cell>
        </row>
        <row r="800">
          <cell r="A800">
            <v>282</v>
          </cell>
          <cell r="B800" t="str">
            <v>МО-36</v>
          </cell>
        </row>
        <row r="801">
          <cell r="A801">
            <v>285</v>
          </cell>
          <cell r="B801" t="str">
            <v>МО-36</v>
          </cell>
        </row>
        <row r="802">
          <cell r="A802" t="str">
            <v>2855ТО72</v>
          </cell>
          <cell r="B802" t="str">
            <v>МО-36</v>
          </cell>
        </row>
        <row r="803">
          <cell r="A803">
            <v>2862</v>
          </cell>
          <cell r="B803" t="str">
            <v>МО-36</v>
          </cell>
        </row>
        <row r="804">
          <cell r="A804">
            <v>2865</v>
          </cell>
          <cell r="B804" t="str">
            <v>МО-36</v>
          </cell>
        </row>
        <row r="805">
          <cell r="A805">
            <v>2868</v>
          </cell>
          <cell r="B805" t="str">
            <v>МО-36</v>
          </cell>
        </row>
        <row r="806">
          <cell r="A806">
            <v>2893</v>
          </cell>
          <cell r="B806" t="str">
            <v>МО-36</v>
          </cell>
        </row>
        <row r="807">
          <cell r="A807">
            <v>2896</v>
          </cell>
          <cell r="B807" t="str">
            <v>МО-36</v>
          </cell>
        </row>
        <row r="808">
          <cell r="A808">
            <v>2936</v>
          </cell>
          <cell r="B808" t="str">
            <v>МО-36</v>
          </cell>
        </row>
        <row r="809">
          <cell r="A809" t="str">
            <v>2974АХ72</v>
          </cell>
          <cell r="B809" t="str">
            <v>МО-36</v>
          </cell>
        </row>
        <row r="810">
          <cell r="A810" t="str">
            <v>2975АХ72</v>
          </cell>
          <cell r="B810" t="str">
            <v>МО-36</v>
          </cell>
        </row>
        <row r="811">
          <cell r="A811" t="str">
            <v>2976АХ72</v>
          </cell>
          <cell r="B811" t="str">
            <v>МО-36</v>
          </cell>
        </row>
        <row r="812">
          <cell r="A812">
            <v>2977</v>
          </cell>
          <cell r="B812" t="str">
            <v>МО-36</v>
          </cell>
        </row>
        <row r="813">
          <cell r="A813">
            <v>2995</v>
          </cell>
          <cell r="B813" t="str">
            <v>МО-36</v>
          </cell>
        </row>
        <row r="814">
          <cell r="A814">
            <v>3038</v>
          </cell>
          <cell r="B814" t="str">
            <v>МО-36</v>
          </cell>
        </row>
        <row r="815">
          <cell r="A815">
            <v>3040</v>
          </cell>
          <cell r="B815" t="str">
            <v>МО-36</v>
          </cell>
        </row>
        <row r="816">
          <cell r="A816" t="str">
            <v>3044ТУ72</v>
          </cell>
          <cell r="B816" t="str">
            <v>МО-36</v>
          </cell>
        </row>
        <row r="817">
          <cell r="A817" t="str">
            <v>3088АО86</v>
          </cell>
          <cell r="B817" t="str">
            <v>МО-36</v>
          </cell>
        </row>
        <row r="818">
          <cell r="A818" t="str">
            <v>3102ТА72</v>
          </cell>
          <cell r="B818" t="str">
            <v>МО-36</v>
          </cell>
        </row>
        <row r="819">
          <cell r="A819" t="str">
            <v>3123ОА72</v>
          </cell>
          <cell r="B819" t="str">
            <v>МО-36</v>
          </cell>
        </row>
        <row r="820">
          <cell r="A820" t="str">
            <v>3139ТК72</v>
          </cell>
          <cell r="B820" t="str">
            <v>МО-36</v>
          </cell>
        </row>
        <row r="821">
          <cell r="A821" t="str">
            <v>3244ТА72</v>
          </cell>
          <cell r="B821" t="str">
            <v>МО-36</v>
          </cell>
        </row>
        <row r="822">
          <cell r="A822" t="str">
            <v>3366ОВ72</v>
          </cell>
          <cell r="B822" t="str">
            <v>МО-36</v>
          </cell>
        </row>
        <row r="823">
          <cell r="A823">
            <v>3385</v>
          </cell>
          <cell r="B823" t="str">
            <v>МО-36</v>
          </cell>
        </row>
        <row r="824">
          <cell r="A824">
            <v>3400</v>
          </cell>
          <cell r="B824" t="str">
            <v>МО-36</v>
          </cell>
        </row>
        <row r="825">
          <cell r="A825">
            <v>3401</v>
          </cell>
          <cell r="B825" t="str">
            <v>МО-36</v>
          </cell>
        </row>
        <row r="826">
          <cell r="A826">
            <v>3402</v>
          </cell>
          <cell r="B826" t="str">
            <v>МО-36</v>
          </cell>
        </row>
        <row r="827">
          <cell r="A827" t="str">
            <v>3431ТК72</v>
          </cell>
          <cell r="B827" t="str">
            <v>МО-36</v>
          </cell>
        </row>
        <row r="828">
          <cell r="A828" t="str">
            <v>3432ТК72</v>
          </cell>
          <cell r="B828" t="str">
            <v>МО-36</v>
          </cell>
        </row>
        <row r="829">
          <cell r="A829">
            <v>3443</v>
          </cell>
          <cell r="B829" t="str">
            <v>МО-36</v>
          </cell>
        </row>
        <row r="830">
          <cell r="A830">
            <v>3444</v>
          </cell>
          <cell r="B830" t="str">
            <v>МО-36</v>
          </cell>
        </row>
        <row r="831">
          <cell r="A831">
            <v>3445</v>
          </cell>
          <cell r="B831" t="str">
            <v>МО-36</v>
          </cell>
        </row>
        <row r="832">
          <cell r="A832">
            <v>3452</v>
          </cell>
          <cell r="B832" t="str">
            <v>МО-36</v>
          </cell>
        </row>
        <row r="833">
          <cell r="A833">
            <v>3479</v>
          </cell>
          <cell r="B833" t="str">
            <v>МО-36</v>
          </cell>
        </row>
        <row r="834">
          <cell r="A834" t="str">
            <v>3772ТВ72</v>
          </cell>
          <cell r="B834" t="str">
            <v>МО-36</v>
          </cell>
        </row>
        <row r="835">
          <cell r="A835">
            <v>3872</v>
          </cell>
          <cell r="B835" t="str">
            <v>МО-36</v>
          </cell>
        </row>
        <row r="836">
          <cell r="A836">
            <v>3898</v>
          </cell>
          <cell r="B836" t="str">
            <v>МО-36</v>
          </cell>
        </row>
        <row r="837">
          <cell r="A837">
            <v>400083</v>
          </cell>
          <cell r="B837" t="str">
            <v>МО-36</v>
          </cell>
        </row>
        <row r="838">
          <cell r="A838">
            <v>400084</v>
          </cell>
          <cell r="B838" t="str">
            <v>МО-36</v>
          </cell>
        </row>
        <row r="839">
          <cell r="A839">
            <v>4084</v>
          </cell>
          <cell r="B839" t="str">
            <v>МО-36</v>
          </cell>
        </row>
        <row r="840">
          <cell r="A840" t="str">
            <v>4174АО86</v>
          </cell>
          <cell r="B840" t="str">
            <v>МО-36</v>
          </cell>
        </row>
        <row r="841">
          <cell r="A841">
            <v>4191</v>
          </cell>
          <cell r="B841" t="str">
            <v>МО-36</v>
          </cell>
        </row>
        <row r="842">
          <cell r="A842">
            <v>4198</v>
          </cell>
          <cell r="B842" t="str">
            <v>МО-36</v>
          </cell>
        </row>
        <row r="843">
          <cell r="A843" t="str">
            <v>4216ВА89</v>
          </cell>
          <cell r="B843" t="str">
            <v>МО-36</v>
          </cell>
        </row>
        <row r="844">
          <cell r="A844">
            <v>4246</v>
          </cell>
          <cell r="B844" t="str">
            <v>МО-36</v>
          </cell>
        </row>
        <row r="845">
          <cell r="A845" t="str">
            <v>4249АХ72</v>
          </cell>
          <cell r="B845" t="str">
            <v>МО-36</v>
          </cell>
        </row>
        <row r="846">
          <cell r="A846" t="str">
            <v>4279ТВ86</v>
          </cell>
          <cell r="B846" t="str">
            <v>МО-36</v>
          </cell>
        </row>
        <row r="847">
          <cell r="A847" t="str">
            <v>4457АО72</v>
          </cell>
          <cell r="B847" t="str">
            <v>МО-36</v>
          </cell>
        </row>
        <row r="848">
          <cell r="A848" t="str">
            <v>4458ОА72</v>
          </cell>
          <cell r="B848" t="str">
            <v>МО-36</v>
          </cell>
        </row>
        <row r="849">
          <cell r="A849" t="str">
            <v>4460ТА72</v>
          </cell>
          <cell r="B849" t="str">
            <v>МО-36</v>
          </cell>
        </row>
        <row r="850">
          <cell r="A850" t="str">
            <v>4632ТК72</v>
          </cell>
          <cell r="B850" t="str">
            <v>МО-36</v>
          </cell>
        </row>
        <row r="851">
          <cell r="A851" t="str">
            <v>4668ТХ72</v>
          </cell>
          <cell r="B851" t="str">
            <v>МО-36</v>
          </cell>
        </row>
        <row r="852">
          <cell r="A852" t="str">
            <v>4682ТО72</v>
          </cell>
          <cell r="B852" t="str">
            <v>МО-36</v>
          </cell>
        </row>
        <row r="853">
          <cell r="A853" t="str">
            <v>4683ТО72</v>
          </cell>
          <cell r="B853" t="str">
            <v>МО-36</v>
          </cell>
        </row>
        <row r="854">
          <cell r="A854">
            <v>47957</v>
          </cell>
          <cell r="B854" t="str">
            <v>МО-36</v>
          </cell>
        </row>
        <row r="855">
          <cell r="A855">
            <v>48</v>
          </cell>
          <cell r="B855" t="str">
            <v>МО-36</v>
          </cell>
        </row>
        <row r="856">
          <cell r="A856">
            <v>48053</v>
          </cell>
          <cell r="B856" t="str">
            <v>МО-36</v>
          </cell>
        </row>
        <row r="857">
          <cell r="A857" t="str">
            <v>4817АО72</v>
          </cell>
          <cell r="B857" t="str">
            <v>МО-36</v>
          </cell>
        </row>
        <row r="858">
          <cell r="A858" t="str">
            <v>4843ОА72</v>
          </cell>
          <cell r="B858" t="str">
            <v>МО-36</v>
          </cell>
        </row>
        <row r="859">
          <cell r="A859">
            <v>50222</v>
          </cell>
          <cell r="B859" t="str">
            <v>МО-36</v>
          </cell>
        </row>
        <row r="860">
          <cell r="A860">
            <v>50241</v>
          </cell>
          <cell r="B860" t="str">
            <v>МО-36</v>
          </cell>
        </row>
        <row r="861">
          <cell r="A861">
            <v>50243</v>
          </cell>
          <cell r="B861" t="str">
            <v>МО-36</v>
          </cell>
        </row>
        <row r="862">
          <cell r="A862">
            <v>50246</v>
          </cell>
          <cell r="B862" t="str">
            <v>МО-36</v>
          </cell>
        </row>
        <row r="863">
          <cell r="A863">
            <v>50453</v>
          </cell>
          <cell r="B863" t="str">
            <v>МО-36</v>
          </cell>
        </row>
        <row r="864">
          <cell r="A864">
            <v>50513</v>
          </cell>
          <cell r="B864" t="str">
            <v>МО-36</v>
          </cell>
        </row>
        <row r="865">
          <cell r="A865">
            <v>50514</v>
          </cell>
          <cell r="B865" t="str">
            <v>МО-36</v>
          </cell>
        </row>
        <row r="866">
          <cell r="A866">
            <v>52265</v>
          </cell>
          <cell r="B866" t="str">
            <v>МО-36</v>
          </cell>
        </row>
        <row r="867">
          <cell r="A867">
            <v>52274</v>
          </cell>
          <cell r="B867" t="str">
            <v>МО-36</v>
          </cell>
        </row>
        <row r="868">
          <cell r="A868" t="str">
            <v>5282АТ72</v>
          </cell>
          <cell r="B868" t="str">
            <v>МО-36</v>
          </cell>
        </row>
        <row r="869">
          <cell r="A869" t="str">
            <v>5351ОА72</v>
          </cell>
          <cell r="B869" t="str">
            <v>МО-36</v>
          </cell>
        </row>
        <row r="870">
          <cell r="A870" t="str">
            <v>5354ОА72</v>
          </cell>
          <cell r="B870" t="str">
            <v>МО-36</v>
          </cell>
        </row>
        <row r="871">
          <cell r="A871" t="str">
            <v>5360ОВ72</v>
          </cell>
          <cell r="B871" t="str">
            <v>МО-36</v>
          </cell>
        </row>
        <row r="872">
          <cell r="A872" t="str">
            <v>5378ТА72</v>
          </cell>
          <cell r="B872" t="str">
            <v>МО-36</v>
          </cell>
        </row>
        <row r="873">
          <cell r="A873" t="str">
            <v>5515ТУ72</v>
          </cell>
          <cell r="B873" t="str">
            <v>МО-36</v>
          </cell>
        </row>
        <row r="874">
          <cell r="A874" t="str">
            <v>5516ТУ72</v>
          </cell>
          <cell r="B874" t="str">
            <v>МО-36</v>
          </cell>
        </row>
        <row r="875">
          <cell r="A875">
            <v>5581</v>
          </cell>
          <cell r="B875" t="str">
            <v>МО-36</v>
          </cell>
        </row>
        <row r="876">
          <cell r="A876" t="str">
            <v>5620ТА</v>
          </cell>
          <cell r="B876" t="str">
            <v>МО-36</v>
          </cell>
        </row>
        <row r="877">
          <cell r="A877" t="str">
            <v>5839АО86</v>
          </cell>
          <cell r="B877" t="str">
            <v>МО-36</v>
          </cell>
        </row>
        <row r="878">
          <cell r="A878">
            <v>5894</v>
          </cell>
          <cell r="B878" t="str">
            <v>МО-36</v>
          </cell>
        </row>
        <row r="879">
          <cell r="A879">
            <v>5895</v>
          </cell>
          <cell r="B879" t="str">
            <v>МО-36</v>
          </cell>
        </row>
        <row r="880">
          <cell r="A880">
            <v>5896</v>
          </cell>
          <cell r="B880" t="str">
            <v>МО-36</v>
          </cell>
        </row>
        <row r="881">
          <cell r="A881" t="str">
            <v>5940АО86</v>
          </cell>
          <cell r="B881" t="str">
            <v>МО-36</v>
          </cell>
        </row>
        <row r="882">
          <cell r="A882" t="str">
            <v>6029ОА72</v>
          </cell>
          <cell r="B882" t="str">
            <v>МО-36</v>
          </cell>
        </row>
        <row r="883">
          <cell r="A883" t="str">
            <v>6029ТР72</v>
          </cell>
          <cell r="B883" t="str">
            <v>МО-36</v>
          </cell>
        </row>
        <row r="884">
          <cell r="A884">
            <v>6176</v>
          </cell>
          <cell r="B884" t="str">
            <v>МО-36</v>
          </cell>
        </row>
        <row r="885">
          <cell r="A885">
            <v>61908</v>
          </cell>
          <cell r="B885" t="str">
            <v>МО-36</v>
          </cell>
        </row>
        <row r="886">
          <cell r="A886">
            <v>61956</v>
          </cell>
          <cell r="B886" t="str">
            <v>МО-36</v>
          </cell>
        </row>
        <row r="887">
          <cell r="A887" t="str">
            <v>6208ТА72</v>
          </cell>
          <cell r="B887" t="str">
            <v>МО-36</v>
          </cell>
        </row>
        <row r="888">
          <cell r="A888">
            <v>62552</v>
          </cell>
          <cell r="B888" t="str">
            <v>МО-36</v>
          </cell>
        </row>
        <row r="889">
          <cell r="A889">
            <v>62553</v>
          </cell>
          <cell r="B889" t="str">
            <v>МО-36</v>
          </cell>
        </row>
        <row r="890">
          <cell r="A890">
            <v>62555</v>
          </cell>
          <cell r="B890" t="str">
            <v>МО-36</v>
          </cell>
        </row>
        <row r="891">
          <cell r="A891">
            <v>628571</v>
          </cell>
          <cell r="B891" t="str">
            <v>МО-36</v>
          </cell>
        </row>
        <row r="892">
          <cell r="A892" t="str">
            <v>6330ТУ72</v>
          </cell>
          <cell r="B892" t="str">
            <v>МО-36</v>
          </cell>
        </row>
        <row r="893">
          <cell r="A893">
            <v>635</v>
          </cell>
          <cell r="B893" t="str">
            <v>МО-36</v>
          </cell>
        </row>
        <row r="894">
          <cell r="A894" t="str">
            <v>6429ОА72</v>
          </cell>
          <cell r="B894" t="str">
            <v>МО-36</v>
          </cell>
        </row>
        <row r="895">
          <cell r="A895" t="str">
            <v>6430ОА72</v>
          </cell>
          <cell r="B895" t="str">
            <v>МО-36</v>
          </cell>
        </row>
        <row r="896">
          <cell r="A896">
            <v>6446</v>
          </cell>
          <cell r="B896" t="str">
            <v>МО-36</v>
          </cell>
        </row>
        <row r="897">
          <cell r="A897" t="str">
            <v>6460ОВ72</v>
          </cell>
          <cell r="B897" t="str">
            <v>МО-36</v>
          </cell>
        </row>
        <row r="898">
          <cell r="A898">
            <v>653</v>
          </cell>
          <cell r="B898" t="str">
            <v>МО-36</v>
          </cell>
        </row>
        <row r="899">
          <cell r="A899">
            <v>6622</v>
          </cell>
          <cell r="B899" t="str">
            <v>МО-36</v>
          </cell>
        </row>
        <row r="900">
          <cell r="A900" t="str">
            <v>6742АТ72</v>
          </cell>
          <cell r="B900" t="str">
            <v>МО-36</v>
          </cell>
        </row>
        <row r="901">
          <cell r="A901" t="str">
            <v>6763ТУ72</v>
          </cell>
          <cell r="B901" t="str">
            <v>МО-36</v>
          </cell>
        </row>
        <row r="902">
          <cell r="A902" t="str">
            <v>6764ТУ72</v>
          </cell>
          <cell r="B902" t="str">
            <v>МО-36</v>
          </cell>
        </row>
        <row r="903">
          <cell r="A903" t="str">
            <v>6765ТУ72</v>
          </cell>
          <cell r="B903" t="str">
            <v>МО-36</v>
          </cell>
        </row>
        <row r="904">
          <cell r="A904" t="str">
            <v>6773ТА72</v>
          </cell>
          <cell r="B904" t="str">
            <v>МО-36</v>
          </cell>
        </row>
        <row r="905">
          <cell r="A905">
            <v>6972</v>
          </cell>
          <cell r="B905" t="str">
            <v>МО-36</v>
          </cell>
        </row>
        <row r="906">
          <cell r="A906">
            <v>6976</v>
          </cell>
          <cell r="B906" t="str">
            <v>МО-36</v>
          </cell>
        </row>
        <row r="907">
          <cell r="A907" t="str">
            <v>7016ТА72</v>
          </cell>
          <cell r="B907" t="str">
            <v>МО-36</v>
          </cell>
        </row>
        <row r="908">
          <cell r="A908" t="str">
            <v>7018АО86</v>
          </cell>
          <cell r="B908" t="str">
            <v>МО-36</v>
          </cell>
        </row>
        <row r="909">
          <cell r="A909" t="str">
            <v>7062ОВ72</v>
          </cell>
          <cell r="B909" t="str">
            <v>МО-36</v>
          </cell>
        </row>
        <row r="910">
          <cell r="A910">
            <v>7196</v>
          </cell>
          <cell r="B910" t="str">
            <v>МО-36</v>
          </cell>
        </row>
        <row r="911">
          <cell r="A911" t="str">
            <v>7225ОВ72</v>
          </cell>
          <cell r="B911" t="str">
            <v>МО-36</v>
          </cell>
        </row>
        <row r="912">
          <cell r="A912" t="str">
            <v>7258ТК72</v>
          </cell>
          <cell r="B912" t="str">
            <v>МО-36</v>
          </cell>
        </row>
        <row r="913">
          <cell r="A913" t="str">
            <v>7510ОВ72</v>
          </cell>
          <cell r="B913" t="str">
            <v>МО-36</v>
          </cell>
        </row>
        <row r="914">
          <cell r="A914" t="str">
            <v>7580ТК72</v>
          </cell>
          <cell r="B914" t="str">
            <v>МО-36</v>
          </cell>
        </row>
        <row r="915">
          <cell r="A915" t="str">
            <v>7649ОА72</v>
          </cell>
          <cell r="B915" t="str">
            <v>МО-36</v>
          </cell>
        </row>
        <row r="916">
          <cell r="A916">
            <v>7761</v>
          </cell>
          <cell r="B916" t="str">
            <v>МО-36</v>
          </cell>
        </row>
        <row r="917">
          <cell r="A917" t="str">
            <v>7812ОА72</v>
          </cell>
          <cell r="B917" t="str">
            <v>МО-36</v>
          </cell>
        </row>
        <row r="918">
          <cell r="A918">
            <v>7863</v>
          </cell>
          <cell r="B918" t="str">
            <v>МО-36</v>
          </cell>
        </row>
        <row r="919">
          <cell r="A919" t="str">
            <v>7920ТН72</v>
          </cell>
          <cell r="B919" t="str">
            <v>МО-36</v>
          </cell>
        </row>
        <row r="920">
          <cell r="A920" t="str">
            <v>8028ОА72</v>
          </cell>
          <cell r="B920" t="str">
            <v>МО-36</v>
          </cell>
        </row>
        <row r="921">
          <cell r="A921" t="str">
            <v>8029ОА72</v>
          </cell>
          <cell r="B921" t="str">
            <v>МО-36</v>
          </cell>
        </row>
        <row r="922">
          <cell r="A922" t="str">
            <v>8077ТУ72</v>
          </cell>
          <cell r="B922" t="str">
            <v>МО-36</v>
          </cell>
        </row>
        <row r="923">
          <cell r="A923">
            <v>80969</v>
          </cell>
          <cell r="B923" t="str">
            <v>МО-36</v>
          </cell>
        </row>
        <row r="924">
          <cell r="A924" t="str">
            <v>8099ОА72</v>
          </cell>
          <cell r="B924" t="str">
            <v>МО-36</v>
          </cell>
        </row>
        <row r="925">
          <cell r="A925">
            <v>81005</v>
          </cell>
          <cell r="B925" t="str">
            <v>МО-36</v>
          </cell>
        </row>
        <row r="926">
          <cell r="A926">
            <v>81006</v>
          </cell>
          <cell r="B926" t="str">
            <v>МО-36</v>
          </cell>
        </row>
        <row r="927">
          <cell r="A927">
            <v>81051</v>
          </cell>
          <cell r="B927" t="str">
            <v>МО-36</v>
          </cell>
        </row>
        <row r="928">
          <cell r="A928">
            <v>81052</v>
          </cell>
          <cell r="B928" t="str">
            <v>МО-36</v>
          </cell>
        </row>
        <row r="929">
          <cell r="A929">
            <v>81229</v>
          </cell>
          <cell r="B929" t="str">
            <v>МО-36</v>
          </cell>
        </row>
        <row r="930">
          <cell r="A930" t="str">
            <v>8203ОВ72</v>
          </cell>
          <cell r="B930" t="str">
            <v>МО-36</v>
          </cell>
        </row>
        <row r="931">
          <cell r="A931" t="str">
            <v>8264ОВ72</v>
          </cell>
          <cell r="B931" t="str">
            <v>МО-36</v>
          </cell>
        </row>
        <row r="932">
          <cell r="A932" t="str">
            <v>8436ТС72</v>
          </cell>
          <cell r="B932" t="str">
            <v>МО-36</v>
          </cell>
        </row>
        <row r="933">
          <cell r="A933" t="str">
            <v>8469АХ72</v>
          </cell>
          <cell r="B933" t="str">
            <v>МО-36</v>
          </cell>
        </row>
        <row r="934">
          <cell r="A934" t="str">
            <v>8496ТК72</v>
          </cell>
          <cell r="B934" t="str">
            <v>МО-36</v>
          </cell>
        </row>
        <row r="935">
          <cell r="A935">
            <v>8500</v>
          </cell>
          <cell r="B935" t="str">
            <v>МО-36</v>
          </cell>
        </row>
        <row r="936">
          <cell r="A936" t="str">
            <v>8526ОВ72</v>
          </cell>
          <cell r="B936" t="str">
            <v>МО-36</v>
          </cell>
        </row>
        <row r="937">
          <cell r="A937" t="str">
            <v>8527ОВ72</v>
          </cell>
          <cell r="B937" t="str">
            <v>МО-36</v>
          </cell>
        </row>
        <row r="938">
          <cell r="A938" t="str">
            <v>8528ОВ72</v>
          </cell>
          <cell r="B938" t="str">
            <v>МО-36</v>
          </cell>
        </row>
        <row r="939">
          <cell r="A939" t="str">
            <v>8529ОВ72</v>
          </cell>
          <cell r="B939" t="str">
            <v>МО-36</v>
          </cell>
        </row>
        <row r="940">
          <cell r="A940" t="str">
            <v>8551ОВ72</v>
          </cell>
          <cell r="B940" t="str">
            <v>МО-36</v>
          </cell>
        </row>
        <row r="941">
          <cell r="A941" t="str">
            <v>8593ОВ72</v>
          </cell>
          <cell r="B941" t="str">
            <v>МО-36</v>
          </cell>
        </row>
        <row r="942">
          <cell r="A942" t="str">
            <v>8651АХ72</v>
          </cell>
          <cell r="B942" t="str">
            <v>МО-36</v>
          </cell>
        </row>
        <row r="943">
          <cell r="A943" t="str">
            <v>8758ОВ72</v>
          </cell>
          <cell r="B943" t="str">
            <v>МО-36</v>
          </cell>
        </row>
        <row r="944">
          <cell r="A944" t="str">
            <v>8761ОВ72</v>
          </cell>
          <cell r="B944" t="str">
            <v>МО-36</v>
          </cell>
        </row>
        <row r="945">
          <cell r="A945" t="str">
            <v>8834ОВ72</v>
          </cell>
          <cell r="B945" t="str">
            <v>МО-36</v>
          </cell>
        </row>
        <row r="946">
          <cell r="A946" t="str">
            <v>8843ОВ72</v>
          </cell>
          <cell r="B946" t="str">
            <v>МО-36</v>
          </cell>
        </row>
        <row r="947">
          <cell r="A947" t="str">
            <v>8845ОВ72</v>
          </cell>
          <cell r="B947" t="str">
            <v>МО-36</v>
          </cell>
        </row>
        <row r="948">
          <cell r="A948" t="str">
            <v>8868ТУ72</v>
          </cell>
          <cell r="B948" t="str">
            <v>МО-36</v>
          </cell>
        </row>
        <row r="949">
          <cell r="A949" t="str">
            <v>8936ТХ72</v>
          </cell>
          <cell r="B949" t="str">
            <v>МО-36</v>
          </cell>
        </row>
        <row r="950">
          <cell r="A950" t="str">
            <v>8938ОА72</v>
          </cell>
          <cell r="B950" t="str">
            <v>МО-36</v>
          </cell>
        </row>
        <row r="951">
          <cell r="A951" t="str">
            <v>8940ОА72</v>
          </cell>
          <cell r="B951" t="str">
            <v>МО-36</v>
          </cell>
        </row>
        <row r="952">
          <cell r="A952" t="str">
            <v>8961ОА72</v>
          </cell>
          <cell r="B952" t="str">
            <v>МО-36</v>
          </cell>
        </row>
        <row r="953">
          <cell r="A953" t="str">
            <v>8989ОА72</v>
          </cell>
          <cell r="B953" t="str">
            <v>МО-36</v>
          </cell>
        </row>
        <row r="954">
          <cell r="A954" t="str">
            <v>9088ОА72</v>
          </cell>
          <cell r="B954" t="str">
            <v>МО-36</v>
          </cell>
        </row>
        <row r="955">
          <cell r="A955" t="str">
            <v>9256ТК72</v>
          </cell>
          <cell r="B955" t="str">
            <v>МО-36</v>
          </cell>
        </row>
        <row r="956">
          <cell r="A956" t="str">
            <v>9267АТ72</v>
          </cell>
          <cell r="B956" t="str">
            <v>МО-36</v>
          </cell>
        </row>
        <row r="957">
          <cell r="A957" t="str">
            <v>9268АТ72</v>
          </cell>
          <cell r="B957" t="str">
            <v>МО-36</v>
          </cell>
        </row>
        <row r="958">
          <cell r="A958" t="str">
            <v>9269ВТ72</v>
          </cell>
          <cell r="B958" t="str">
            <v>МО-36</v>
          </cell>
        </row>
        <row r="959">
          <cell r="A959" t="str">
            <v>9354ТХ72</v>
          </cell>
          <cell r="B959" t="str">
            <v>МО-36</v>
          </cell>
        </row>
        <row r="960">
          <cell r="A960">
            <v>9406</v>
          </cell>
          <cell r="B960" t="str">
            <v>МО-36</v>
          </cell>
        </row>
        <row r="961">
          <cell r="A961">
            <v>9679</v>
          </cell>
          <cell r="B961" t="str">
            <v>МО-36</v>
          </cell>
        </row>
        <row r="962">
          <cell r="A962" t="str">
            <v>9776ТК72</v>
          </cell>
          <cell r="B962" t="str">
            <v>МО-36</v>
          </cell>
        </row>
        <row r="963">
          <cell r="A963">
            <v>995</v>
          </cell>
          <cell r="B963" t="str">
            <v>МО-36</v>
          </cell>
        </row>
        <row r="964">
          <cell r="A964" t="str">
            <v>9954ТХ72</v>
          </cell>
          <cell r="B964" t="str">
            <v>МО-36</v>
          </cell>
        </row>
        <row r="965">
          <cell r="A965" t="str">
            <v>9965АР86</v>
          </cell>
          <cell r="B965" t="str">
            <v>МО-36</v>
          </cell>
        </row>
        <row r="966">
          <cell r="A966" t="str">
            <v>А024РК89</v>
          </cell>
          <cell r="B966" t="str">
            <v>МО-87</v>
          </cell>
        </row>
        <row r="967">
          <cell r="A967" t="str">
            <v>А032УА72</v>
          </cell>
          <cell r="B967" t="str">
            <v>МО-87</v>
          </cell>
        </row>
        <row r="968">
          <cell r="A968" t="str">
            <v>А186СТ72</v>
          </cell>
          <cell r="B968" t="str">
            <v>МО-87</v>
          </cell>
        </row>
        <row r="969">
          <cell r="A969" t="str">
            <v>А212ТЕ89</v>
          </cell>
          <cell r="B969" t="str">
            <v>МО-87</v>
          </cell>
        </row>
        <row r="970">
          <cell r="A970" t="str">
            <v>А252НМ89</v>
          </cell>
          <cell r="B970" t="str">
            <v>МО-87</v>
          </cell>
        </row>
        <row r="971">
          <cell r="A971" t="str">
            <v>А325УК89</v>
          </cell>
          <cell r="B971" t="str">
            <v>МО-87</v>
          </cell>
        </row>
        <row r="972">
          <cell r="A972" t="str">
            <v>А522НН72</v>
          </cell>
          <cell r="B972" t="str">
            <v>МО-87</v>
          </cell>
        </row>
        <row r="973">
          <cell r="A973" t="str">
            <v>В092МС72</v>
          </cell>
          <cell r="B973" t="str">
            <v>МО-87</v>
          </cell>
        </row>
        <row r="974">
          <cell r="A974" t="str">
            <v>В097НМ72</v>
          </cell>
          <cell r="B974" t="str">
            <v>МО-87</v>
          </cell>
        </row>
        <row r="975">
          <cell r="A975" t="str">
            <v>В231СО72</v>
          </cell>
          <cell r="B975" t="str">
            <v>МО-87</v>
          </cell>
        </row>
        <row r="976">
          <cell r="A976" t="str">
            <v>В458СО89</v>
          </cell>
          <cell r="B976" t="str">
            <v>МО-87</v>
          </cell>
        </row>
        <row r="977">
          <cell r="A977" t="str">
            <v>В610СО89</v>
          </cell>
          <cell r="B977" t="str">
            <v>МО-87</v>
          </cell>
        </row>
        <row r="978">
          <cell r="A978" t="str">
            <v>В614СО89</v>
          </cell>
          <cell r="B978" t="str">
            <v>МО-87</v>
          </cell>
        </row>
        <row r="979">
          <cell r="A979" t="str">
            <v>В763РВ72</v>
          </cell>
          <cell r="B979" t="str">
            <v>МО-87</v>
          </cell>
        </row>
        <row r="980">
          <cell r="A980" t="str">
            <v>В884ХС86</v>
          </cell>
          <cell r="B980" t="str">
            <v>МО-87</v>
          </cell>
        </row>
        <row r="981">
          <cell r="A981" t="str">
            <v>Е194НК72</v>
          </cell>
          <cell r="B981" t="str">
            <v>МО-87</v>
          </cell>
        </row>
        <row r="982">
          <cell r="A982" t="str">
            <v>К133КО72</v>
          </cell>
          <cell r="B982" t="str">
            <v>МО-87</v>
          </cell>
        </row>
        <row r="983">
          <cell r="A983" t="str">
            <v>К206ХА72</v>
          </cell>
          <cell r="B983" t="str">
            <v>МО-87</v>
          </cell>
        </row>
        <row r="984">
          <cell r="A984" t="str">
            <v>К215АН186</v>
          </cell>
          <cell r="B984" t="str">
            <v>МО-87</v>
          </cell>
        </row>
        <row r="985">
          <cell r="A985" t="str">
            <v>К392ТЕ72</v>
          </cell>
          <cell r="B985" t="str">
            <v>МО-87</v>
          </cell>
        </row>
        <row r="986">
          <cell r="A986" t="str">
            <v>К398ТЕ72</v>
          </cell>
          <cell r="B986" t="str">
            <v>МО-87</v>
          </cell>
        </row>
        <row r="987">
          <cell r="A987" t="str">
            <v>К441КО72</v>
          </cell>
          <cell r="B987" t="str">
            <v>МО-87</v>
          </cell>
        </row>
        <row r="988">
          <cell r="A988" t="str">
            <v>К984ВХ72</v>
          </cell>
          <cell r="B988" t="str">
            <v>МО-87</v>
          </cell>
        </row>
        <row r="989">
          <cell r="A989" t="str">
            <v>М028КУ72</v>
          </cell>
          <cell r="B989" t="str">
            <v>МО-87</v>
          </cell>
        </row>
        <row r="990">
          <cell r="A990" t="str">
            <v>М206ЕМ72</v>
          </cell>
          <cell r="B990" t="str">
            <v>МО-87</v>
          </cell>
        </row>
        <row r="991">
          <cell r="A991" t="str">
            <v>М246ЕМ72</v>
          </cell>
          <cell r="B991" t="str">
            <v>МО-87</v>
          </cell>
        </row>
        <row r="992">
          <cell r="A992" t="str">
            <v>М247ЕМ72</v>
          </cell>
          <cell r="B992" t="str">
            <v>МО-87</v>
          </cell>
        </row>
        <row r="993">
          <cell r="A993" t="str">
            <v>М253СЕ72</v>
          </cell>
          <cell r="B993" t="str">
            <v>МО-87</v>
          </cell>
        </row>
        <row r="994">
          <cell r="A994" t="str">
            <v>М349ВУ89</v>
          </cell>
          <cell r="B994" t="str">
            <v>МО-87</v>
          </cell>
        </row>
        <row r="995">
          <cell r="A995" t="str">
            <v>М841УМ72</v>
          </cell>
          <cell r="B995" t="str">
            <v>МО-87</v>
          </cell>
        </row>
        <row r="996">
          <cell r="A996" t="str">
            <v>М849РУ72</v>
          </cell>
          <cell r="B996" t="str">
            <v>МО-87</v>
          </cell>
        </row>
        <row r="997">
          <cell r="A997" t="str">
            <v>М850РУ72</v>
          </cell>
          <cell r="B997" t="str">
            <v>МО-87</v>
          </cell>
        </row>
        <row r="998">
          <cell r="A998" t="str">
            <v>М851РУ72</v>
          </cell>
          <cell r="B998" t="str">
            <v>МО-87</v>
          </cell>
        </row>
        <row r="999">
          <cell r="A999" t="str">
            <v>М951УМ72</v>
          </cell>
          <cell r="B999" t="str">
            <v>МО-87</v>
          </cell>
        </row>
        <row r="1000">
          <cell r="A1000" t="str">
            <v>М952УМ72</v>
          </cell>
          <cell r="B1000" t="str">
            <v>МО-87</v>
          </cell>
        </row>
        <row r="1001">
          <cell r="A1001" t="str">
            <v>Н341ХУ72</v>
          </cell>
          <cell r="B1001" t="str">
            <v>МО-87</v>
          </cell>
        </row>
        <row r="1002">
          <cell r="A1002" t="str">
            <v>Н866ЕА89</v>
          </cell>
          <cell r="B1002" t="str">
            <v>МО-87</v>
          </cell>
        </row>
        <row r="1003">
          <cell r="A1003" t="str">
            <v>Н912РК72</v>
          </cell>
          <cell r="B1003" t="str">
            <v>МО-87</v>
          </cell>
        </row>
        <row r="1004">
          <cell r="A1004" t="str">
            <v>Н913РК72</v>
          </cell>
          <cell r="B1004" t="str">
            <v>МО-87</v>
          </cell>
        </row>
        <row r="1005">
          <cell r="A1005" t="str">
            <v>О048НК72</v>
          </cell>
          <cell r="B1005" t="str">
            <v>МО-87</v>
          </cell>
        </row>
        <row r="1006">
          <cell r="A1006" t="str">
            <v>О054ЕУ72</v>
          </cell>
          <cell r="B1006" t="str">
            <v>МО-87</v>
          </cell>
        </row>
        <row r="1007">
          <cell r="A1007" t="str">
            <v>О089ЕУ72</v>
          </cell>
          <cell r="B1007" t="str">
            <v>МО-87</v>
          </cell>
        </row>
        <row r="1008">
          <cell r="A1008" t="str">
            <v>О116ВЕ89</v>
          </cell>
          <cell r="B1008" t="str">
            <v>МО-87</v>
          </cell>
        </row>
        <row r="1009">
          <cell r="A1009" t="str">
            <v>О141СЕ89</v>
          </cell>
          <cell r="B1009" t="str">
            <v>МО-87</v>
          </cell>
        </row>
        <row r="1010">
          <cell r="A1010" t="str">
            <v>О229СТ72</v>
          </cell>
          <cell r="B1010" t="str">
            <v>МО-87</v>
          </cell>
        </row>
        <row r="1011">
          <cell r="A1011" t="str">
            <v>О416НН72</v>
          </cell>
          <cell r="B1011" t="str">
            <v>МО-87</v>
          </cell>
        </row>
        <row r="1012">
          <cell r="A1012" t="str">
            <v>О459КТ72</v>
          </cell>
          <cell r="B1012" t="str">
            <v>МО-87</v>
          </cell>
        </row>
        <row r="1013">
          <cell r="A1013" t="str">
            <v>О471ТО72</v>
          </cell>
          <cell r="B1013" t="str">
            <v>МО-87</v>
          </cell>
        </row>
        <row r="1014">
          <cell r="A1014" t="str">
            <v>О475НН72</v>
          </cell>
          <cell r="B1014" t="str">
            <v>МО-87</v>
          </cell>
        </row>
        <row r="1015">
          <cell r="A1015" t="str">
            <v>О486СЕ89</v>
          </cell>
          <cell r="B1015" t="str">
            <v>МО-87</v>
          </cell>
        </row>
        <row r="1016">
          <cell r="A1016" t="str">
            <v>О487СЕ89</v>
          </cell>
          <cell r="B1016" t="str">
            <v>МО-87</v>
          </cell>
        </row>
        <row r="1017">
          <cell r="A1017" t="str">
            <v>О641ХХ72</v>
          </cell>
          <cell r="B1017" t="str">
            <v>МО-87</v>
          </cell>
        </row>
        <row r="1018">
          <cell r="A1018" t="str">
            <v>О795ТВ161</v>
          </cell>
          <cell r="B1018" t="str">
            <v>МО-87</v>
          </cell>
        </row>
        <row r="1019">
          <cell r="A1019" t="str">
            <v>О856ХР86</v>
          </cell>
          <cell r="B1019" t="str">
            <v>МО-87</v>
          </cell>
        </row>
        <row r="1020">
          <cell r="A1020" t="str">
            <v>О942ХЕ72</v>
          </cell>
          <cell r="B1020" t="str">
            <v>МО-87</v>
          </cell>
        </row>
        <row r="1021">
          <cell r="A1021" t="str">
            <v>О964НВ72</v>
          </cell>
          <cell r="B1021" t="str">
            <v>МО-87</v>
          </cell>
        </row>
        <row r="1022">
          <cell r="A1022" t="str">
            <v>Р182ЕС72</v>
          </cell>
          <cell r="B1022" t="str">
            <v>МО-87</v>
          </cell>
        </row>
        <row r="1023">
          <cell r="A1023" t="str">
            <v>Р184УС86</v>
          </cell>
          <cell r="B1023" t="str">
            <v>МО-87</v>
          </cell>
        </row>
        <row r="1024">
          <cell r="A1024" t="str">
            <v>Р416РА72</v>
          </cell>
          <cell r="B1024" t="str">
            <v>МО-87</v>
          </cell>
        </row>
        <row r="1025">
          <cell r="A1025" t="str">
            <v>Р804КМ72</v>
          </cell>
          <cell r="B1025" t="str">
            <v>МО-87</v>
          </cell>
        </row>
        <row r="1026">
          <cell r="A1026" t="str">
            <v>Р961РА72</v>
          </cell>
          <cell r="B1026" t="str">
            <v>МО-87</v>
          </cell>
        </row>
        <row r="1027">
          <cell r="A1027" t="str">
            <v>С061МУ72</v>
          </cell>
          <cell r="B1027" t="str">
            <v>МО-87</v>
          </cell>
        </row>
        <row r="1028">
          <cell r="A1028" t="str">
            <v>С087КУ72</v>
          </cell>
          <cell r="B1028" t="str">
            <v>МО-87</v>
          </cell>
        </row>
        <row r="1029">
          <cell r="A1029" t="str">
            <v>С225МУ72</v>
          </cell>
          <cell r="B1029" t="str">
            <v>МО-87</v>
          </cell>
        </row>
        <row r="1030">
          <cell r="A1030" t="str">
            <v>С305ХХ72</v>
          </cell>
          <cell r="B1030" t="str">
            <v>МО-87</v>
          </cell>
        </row>
        <row r="1031">
          <cell r="A1031" t="str">
            <v>С353ХХ72</v>
          </cell>
          <cell r="B1031" t="str">
            <v>МО-87</v>
          </cell>
        </row>
        <row r="1032">
          <cell r="A1032" t="str">
            <v>С407ХР72</v>
          </cell>
          <cell r="B1032" t="str">
            <v>МО-87</v>
          </cell>
        </row>
        <row r="1033">
          <cell r="A1033" t="str">
            <v>С639ТВ86</v>
          </cell>
          <cell r="B1033" t="str">
            <v>МО-87</v>
          </cell>
        </row>
        <row r="1034">
          <cell r="A1034" t="str">
            <v>Т184МА72</v>
          </cell>
          <cell r="B1034" t="str">
            <v>МО-87</v>
          </cell>
        </row>
        <row r="1035">
          <cell r="A1035" t="str">
            <v>Т219ХА72</v>
          </cell>
          <cell r="B1035" t="str">
            <v>МО-87</v>
          </cell>
        </row>
        <row r="1036">
          <cell r="A1036" t="str">
            <v>Т220ХА72</v>
          </cell>
          <cell r="B1036" t="str">
            <v>МО-87</v>
          </cell>
        </row>
        <row r="1037">
          <cell r="A1037" t="str">
            <v>Т541ВН89</v>
          </cell>
          <cell r="B1037" t="str">
            <v>МО-87</v>
          </cell>
        </row>
        <row r="1038">
          <cell r="A1038" t="str">
            <v>Т542ВН89</v>
          </cell>
          <cell r="B1038" t="str">
            <v>МО-87</v>
          </cell>
        </row>
        <row r="1039">
          <cell r="A1039" t="str">
            <v>Т546ВВ89</v>
          </cell>
          <cell r="B1039" t="str">
            <v>МО-87</v>
          </cell>
        </row>
        <row r="1040">
          <cell r="A1040" t="str">
            <v>У015ТТ86</v>
          </cell>
          <cell r="B1040" t="str">
            <v>МО-87</v>
          </cell>
        </row>
        <row r="1041">
          <cell r="A1041" t="str">
            <v>У583МН72</v>
          </cell>
          <cell r="B1041" t="str">
            <v>МО-87</v>
          </cell>
        </row>
        <row r="1042">
          <cell r="A1042" t="str">
            <v>Х220ЕР89</v>
          </cell>
          <cell r="B1042" t="str">
            <v>МО-87</v>
          </cell>
        </row>
        <row r="1043">
          <cell r="A1043" t="str">
            <v>Х221ЕР89</v>
          </cell>
          <cell r="B1043" t="str">
            <v>МО-87</v>
          </cell>
        </row>
        <row r="1044">
          <cell r="A1044" t="str">
            <v>0023ОА72</v>
          </cell>
          <cell r="B1044" t="str">
            <v>МО-87</v>
          </cell>
        </row>
        <row r="1045">
          <cell r="A1045" t="str">
            <v>0024ОА72</v>
          </cell>
          <cell r="B1045" t="str">
            <v>МО-87</v>
          </cell>
        </row>
        <row r="1046">
          <cell r="A1046" t="str">
            <v>0025ОА72</v>
          </cell>
          <cell r="B1046" t="str">
            <v>МО-87</v>
          </cell>
        </row>
        <row r="1047">
          <cell r="A1047" t="str">
            <v>0028ОА72</v>
          </cell>
          <cell r="B1047" t="str">
            <v>МО-87</v>
          </cell>
        </row>
        <row r="1048">
          <cell r="A1048" t="str">
            <v>0059ОА72</v>
          </cell>
          <cell r="B1048" t="str">
            <v>МО-87</v>
          </cell>
        </row>
        <row r="1049">
          <cell r="A1049" t="str">
            <v>0159ТМ72</v>
          </cell>
          <cell r="B1049" t="str">
            <v>МО-87</v>
          </cell>
        </row>
        <row r="1050">
          <cell r="A1050">
            <v>1063</v>
          </cell>
          <cell r="B1050" t="str">
            <v>МО-87</v>
          </cell>
        </row>
        <row r="1051">
          <cell r="A1051">
            <v>1416</v>
          </cell>
          <cell r="B1051" t="str">
            <v>МО-87</v>
          </cell>
        </row>
        <row r="1052">
          <cell r="A1052">
            <v>1446</v>
          </cell>
          <cell r="B1052" t="str">
            <v>МО-87</v>
          </cell>
        </row>
        <row r="1053">
          <cell r="A1053">
            <v>1449</v>
          </cell>
          <cell r="B1053" t="str">
            <v>МО-87</v>
          </cell>
        </row>
        <row r="1054">
          <cell r="A1054">
            <v>1450</v>
          </cell>
          <cell r="B1054" t="str">
            <v>МО-87</v>
          </cell>
        </row>
        <row r="1055">
          <cell r="A1055">
            <v>1451</v>
          </cell>
          <cell r="B1055" t="str">
            <v>МО-87</v>
          </cell>
        </row>
        <row r="1056">
          <cell r="A1056">
            <v>1476</v>
          </cell>
          <cell r="B1056" t="str">
            <v>МО-87</v>
          </cell>
        </row>
        <row r="1057">
          <cell r="A1057">
            <v>1489</v>
          </cell>
          <cell r="B1057" t="str">
            <v>МО-87</v>
          </cell>
        </row>
        <row r="1058">
          <cell r="A1058">
            <v>1490</v>
          </cell>
          <cell r="B1058" t="str">
            <v>МО-87</v>
          </cell>
        </row>
        <row r="1059">
          <cell r="A1059">
            <v>1520</v>
          </cell>
          <cell r="B1059" t="str">
            <v>МО-87</v>
          </cell>
        </row>
        <row r="1060">
          <cell r="A1060" t="str">
            <v>1611ТР72</v>
          </cell>
          <cell r="B1060" t="str">
            <v>МО-87</v>
          </cell>
        </row>
        <row r="1061">
          <cell r="A1061" t="str">
            <v>167S</v>
          </cell>
          <cell r="B1061" t="str">
            <v>МО-87</v>
          </cell>
        </row>
        <row r="1062">
          <cell r="A1062" t="str">
            <v>1688ТО72</v>
          </cell>
          <cell r="B1062" t="str">
            <v>МО-87</v>
          </cell>
        </row>
        <row r="1063">
          <cell r="A1063" t="str">
            <v>2517ТВ72</v>
          </cell>
          <cell r="B1063" t="str">
            <v>МО-87</v>
          </cell>
        </row>
        <row r="1064">
          <cell r="A1064">
            <v>2559</v>
          </cell>
          <cell r="B1064" t="str">
            <v>МО-87</v>
          </cell>
        </row>
        <row r="1065">
          <cell r="A1065">
            <v>2560</v>
          </cell>
          <cell r="B1065" t="str">
            <v>МО-87</v>
          </cell>
        </row>
        <row r="1066">
          <cell r="A1066">
            <v>2587</v>
          </cell>
          <cell r="B1066" t="str">
            <v>МО-87</v>
          </cell>
        </row>
        <row r="1067">
          <cell r="A1067">
            <v>2792</v>
          </cell>
          <cell r="B1067" t="str">
            <v>МО-87</v>
          </cell>
        </row>
        <row r="1068">
          <cell r="A1068">
            <v>3365</v>
          </cell>
          <cell r="B1068" t="str">
            <v>МО-87</v>
          </cell>
        </row>
        <row r="1069">
          <cell r="A1069">
            <v>3368</v>
          </cell>
          <cell r="B1069" t="str">
            <v>МО-87</v>
          </cell>
        </row>
        <row r="1070">
          <cell r="A1070" t="str">
            <v>3388ТС72</v>
          </cell>
          <cell r="B1070" t="str">
            <v>МО-87</v>
          </cell>
        </row>
        <row r="1071">
          <cell r="A1071" t="str">
            <v>3428ТА72</v>
          </cell>
          <cell r="B1071" t="str">
            <v>МО-87</v>
          </cell>
        </row>
        <row r="1072">
          <cell r="A1072" t="str">
            <v>3615ТР72</v>
          </cell>
          <cell r="B1072" t="str">
            <v>МО-87</v>
          </cell>
        </row>
        <row r="1073">
          <cell r="A1073" t="str">
            <v>3625ТХ72</v>
          </cell>
          <cell r="B1073" t="str">
            <v>МО-87</v>
          </cell>
        </row>
        <row r="1074">
          <cell r="A1074" t="str">
            <v>3840ВА89</v>
          </cell>
          <cell r="B1074" t="str">
            <v>МО-87</v>
          </cell>
        </row>
        <row r="1075">
          <cell r="A1075">
            <v>4220</v>
          </cell>
          <cell r="B1075" t="str">
            <v>МО-87</v>
          </cell>
        </row>
        <row r="1076">
          <cell r="A1076" t="str">
            <v>4582ЕТ89</v>
          </cell>
          <cell r="B1076" t="str">
            <v>МО-87</v>
          </cell>
        </row>
        <row r="1077">
          <cell r="A1077">
            <v>50238</v>
          </cell>
          <cell r="B1077" t="str">
            <v>МО-87</v>
          </cell>
        </row>
        <row r="1078">
          <cell r="A1078" t="str">
            <v>5194АУ72</v>
          </cell>
          <cell r="B1078" t="str">
            <v>МО-87</v>
          </cell>
        </row>
        <row r="1079">
          <cell r="A1079" t="str">
            <v>5195АУ72</v>
          </cell>
          <cell r="B1079" t="str">
            <v>МО-87</v>
          </cell>
        </row>
        <row r="1080">
          <cell r="A1080" t="str">
            <v>5751ОА72</v>
          </cell>
          <cell r="B1080" t="str">
            <v>МО-87</v>
          </cell>
        </row>
        <row r="1081">
          <cell r="A1081">
            <v>60179</v>
          </cell>
          <cell r="B1081" t="str">
            <v>МО-87</v>
          </cell>
        </row>
        <row r="1082">
          <cell r="A1082">
            <v>60309</v>
          </cell>
          <cell r="B1082" t="str">
            <v>МО-87</v>
          </cell>
        </row>
        <row r="1083">
          <cell r="A1083">
            <v>60354</v>
          </cell>
          <cell r="B1083" t="str">
            <v>МО-87</v>
          </cell>
        </row>
        <row r="1084">
          <cell r="A1084">
            <v>60479</v>
          </cell>
          <cell r="B1084" t="str">
            <v>МО-87</v>
          </cell>
        </row>
        <row r="1085">
          <cell r="A1085">
            <v>605722</v>
          </cell>
          <cell r="B1085" t="str">
            <v>МО-87</v>
          </cell>
        </row>
        <row r="1086">
          <cell r="A1086">
            <v>605726</v>
          </cell>
          <cell r="B1086" t="str">
            <v>МО-87</v>
          </cell>
        </row>
        <row r="1087">
          <cell r="A1087">
            <v>606042</v>
          </cell>
          <cell r="B1087" t="str">
            <v>МО-87</v>
          </cell>
        </row>
        <row r="1088">
          <cell r="A1088">
            <v>606048</v>
          </cell>
          <cell r="B1088" t="str">
            <v>МО-87</v>
          </cell>
        </row>
        <row r="1089">
          <cell r="A1089" t="str">
            <v>6707ТВ72</v>
          </cell>
          <cell r="B1089" t="str">
            <v>МО-87</v>
          </cell>
        </row>
        <row r="1090">
          <cell r="A1090" t="str">
            <v>7246ОВ72</v>
          </cell>
          <cell r="B1090" t="str">
            <v>МО-87</v>
          </cell>
        </row>
        <row r="1091">
          <cell r="A1091" t="str">
            <v>7296ОВ72</v>
          </cell>
          <cell r="B1091" t="str">
            <v>МО-87</v>
          </cell>
        </row>
        <row r="1092">
          <cell r="A1092" t="str">
            <v>7399АХ72</v>
          </cell>
          <cell r="B1092" t="str">
            <v>МО-87</v>
          </cell>
        </row>
        <row r="1093">
          <cell r="A1093" t="str">
            <v>7984ТК72</v>
          </cell>
          <cell r="B1093" t="str">
            <v>МО-87</v>
          </cell>
        </row>
        <row r="1094">
          <cell r="A1094" t="str">
            <v>7985ТК72</v>
          </cell>
          <cell r="B1094" t="str">
            <v>МО-87</v>
          </cell>
        </row>
        <row r="1095">
          <cell r="A1095">
            <v>81037</v>
          </cell>
          <cell r="B1095" t="str">
            <v>МО-87</v>
          </cell>
        </row>
        <row r="1096">
          <cell r="A1096" t="str">
            <v>8140АУ72</v>
          </cell>
          <cell r="B1096" t="str">
            <v>МО-87</v>
          </cell>
        </row>
        <row r="1097">
          <cell r="A1097" t="str">
            <v>8147ЕТ89</v>
          </cell>
          <cell r="B1097" t="str">
            <v>МО-87</v>
          </cell>
        </row>
        <row r="1098">
          <cell r="A1098" t="str">
            <v>8185АУ72</v>
          </cell>
          <cell r="B1098" t="str">
            <v>МО-87</v>
          </cell>
        </row>
        <row r="1099">
          <cell r="A1099" t="str">
            <v>8557АТ72</v>
          </cell>
          <cell r="B1099" t="str">
            <v>МО-87</v>
          </cell>
        </row>
        <row r="1100">
          <cell r="A1100" t="str">
            <v>8558АТ72</v>
          </cell>
          <cell r="B1100" t="str">
            <v>МО-87</v>
          </cell>
        </row>
        <row r="1101">
          <cell r="A1101" t="str">
            <v>8724ХР86</v>
          </cell>
          <cell r="B1101" t="str">
            <v>МО-87</v>
          </cell>
        </row>
        <row r="1102">
          <cell r="A1102" t="str">
            <v>9018ТХ72</v>
          </cell>
          <cell r="B1102" t="str">
            <v>МО-87</v>
          </cell>
        </row>
        <row r="1103">
          <cell r="A1103" t="str">
            <v>9654АР86</v>
          </cell>
          <cell r="B1103" t="str">
            <v>МО-87</v>
          </cell>
        </row>
        <row r="1104">
          <cell r="A1104" t="str">
            <v>9715АР86</v>
          </cell>
          <cell r="B1104" t="str">
            <v>МО-87</v>
          </cell>
        </row>
        <row r="1105">
          <cell r="A1105" t="str">
            <v>9811АУ72</v>
          </cell>
          <cell r="B1105" t="str">
            <v>МО-87</v>
          </cell>
        </row>
        <row r="1106">
          <cell r="A1106" t="str">
            <v>9937АТ72</v>
          </cell>
          <cell r="B1106" t="str">
            <v>МО-87</v>
          </cell>
        </row>
        <row r="1107">
          <cell r="A1107" t="str">
            <v>9949АТ72</v>
          </cell>
          <cell r="B1107" t="str">
            <v>МО-87</v>
          </cell>
        </row>
        <row r="1108">
          <cell r="A1108" t="str">
            <v>9982АУ72</v>
          </cell>
          <cell r="B1108" t="str">
            <v>МО-87</v>
          </cell>
        </row>
        <row r="1109">
          <cell r="A1109" t="str">
            <v>С038ТМ72</v>
          </cell>
          <cell r="B1109" t="str">
            <v>СУ</v>
          </cell>
        </row>
        <row r="1110">
          <cell r="A1110" t="str">
            <v>с073ху86</v>
          </cell>
          <cell r="B1110" t="str">
            <v>МО-29</v>
          </cell>
        </row>
        <row r="1111">
          <cell r="A1111" t="str">
            <v>Машина дорожная комбинированная АПМ-10,0СТ.062 гос.№ В123ОН72</v>
          </cell>
          <cell r="B1111" t="str">
            <v>ДСУ</v>
          </cell>
        </row>
        <row r="1112">
          <cell r="A1112" t="str">
            <v>(СПИСАН) Самосвал КамАЗ 55111А гос.№ В123ОН720</v>
          </cell>
          <cell r="B1112" t="str">
            <v>ДСУ</v>
          </cell>
        </row>
        <row r="1113">
          <cell r="A1113" t="str">
            <v>Автогудронатор MASSENZA B6 на шасси Камаз 43253 гос.№ В677ОН72</v>
          </cell>
          <cell r="B1113" t="str">
            <v>ДСУ</v>
          </cell>
        </row>
        <row r="1114">
          <cell r="A1114" t="str">
            <v>Автобус пассажирский IVECO 2227UR гос.№ В683ОН72</v>
          </cell>
          <cell r="B1114" t="str">
            <v>ДСУ</v>
          </cell>
        </row>
        <row r="1115">
          <cell r="A1115" t="str">
            <v>Автобус грузопассажирский IVECO VST18L гос.№ В684ОН72</v>
          </cell>
          <cell r="B1115" t="str">
            <v>ДСУ</v>
          </cell>
        </row>
        <row r="1116">
          <cell r="A1116" t="str">
            <v>Машина дорожная комбинированная ЭД405 гос.№ В829ОН72</v>
          </cell>
          <cell r="B1116" t="str">
            <v>ДСУ</v>
          </cell>
        </row>
        <row r="1117">
          <cell r="A1117" t="str">
            <v>Экскаватор-планировщик EW-25-M1.102 УДС (КамАЗ 65111) гос.№ К044РА86</v>
          </cell>
          <cell r="B1117" t="str">
            <v>ДСУ</v>
          </cell>
        </row>
        <row r="1118">
          <cell r="A1118" t="str">
            <v>Машина дорожная комбинированная ЭД405 гос.№ К894ХТ72</v>
          </cell>
          <cell r="B1118" t="str">
            <v>ДСУ</v>
          </cell>
        </row>
        <row r="1119">
          <cell r="A1119" t="str">
            <v>Самосвал КамАЗ 6520-06 гос.№ Н476МХ72</v>
          </cell>
          <cell r="B1119" t="str">
            <v>ДСУ</v>
          </cell>
        </row>
        <row r="1120">
          <cell r="A1120" t="str">
            <v>Самосвал Scania P380-CB 6х4 гос.№ О154ЕР72</v>
          </cell>
          <cell r="B1120" t="str">
            <v>ДСУ</v>
          </cell>
        </row>
        <row r="1121">
          <cell r="A1121" t="str">
            <v>Самосвал Scania P380-CB 6х4 гос.№ О156ЕР72</v>
          </cell>
          <cell r="B1121" t="str">
            <v>ДСУ</v>
          </cell>
        </row>
        <row r="1122">
          <cell r="A1122" t="str">
            <v>Манипулятор ISUZU FORWARD гос.№ О583РР72</v>
          </cell>
          <cell r="B1122" t="str">
            <v>ДСУ</v>
          </cell>
        </row>
        <row r="1123">
          <cell r="A1123" t="str">
            <v>С/тягач Volvo FM Truck 6х4 гос.№ Р045МН72</v>
          </cell>
          <cell r="B1123" t="str">
            <v>ДСУ</v>
          </cell>
        </row>
        <row r="1124">
          <cell r="A1124" t="str">
            <v>Toyota Avensis 2.0 (4L-1,998-128-5M) гос.№ Р169УУ72</v>
          </cell>
          <cell r="B1124" t="str">
            <v>ДСУ</v>
          </cell>
        </row>
        <row r="1125">
          <cell r="A1125" t="str">
            <v>(СПИСАН) Бортовой ГАЗ 33023 2.3 гос.№ Р197МЕ86</v>
          </cell>
          <cell r="B1125" t="str">
            <v>ДСУ</v>
          </cell>
        </row>
        <row r="1126">
          <cell r="A1126" t="str">
            <v>(СПИСАН) Toyota Highlander (АИ-92) гос.№ Р369РТ72</v>
          </cell>
          <cell r="B1126" t="str">
            <v>ДСУ</v>
          </cell>
        </row>
        <row r="1127">
          <cell r="A1127" t="str">
            <v>(СПИСАН) Сhevrolet Niva гос.№ Р509УК72</v>
          </cell>
          <cell r="B1127" t="str">
            <v>ДСУ</v>
          </cell>
        </row>
        <row r="1128">
          <cell r="A1128" t="str">
            <v>(СПИСАН) Автобус ПАЗ 3206-60 гос.№ Р715УК72</v>
          </cell>
          <cell r="B1128" t="str">
            <v>ДСУ</v>
          </cell>
        </row>
        <row r="1129">
          <cell r="A1129" t="str">
            <v>CHEVROLET NIVA,2123000-55 гос.№ Р782НЕ72</v>
          </cell>
          <cell r="B1129" t="str">
            <v>ДСУ</v>
          </cell>
        </row>
        <row r="1130">
          <cell r="A1130" t="str">
            <v>Автобус 222709 гос.№ Р904КР72</v>
          </cell>
          <cell r="B1130" t="str">
            <v>ДСУ</v>
          </cell>
        </row>
        <row r="1131">
          <cell r="A1131" t="str">
            <v>Toyota Land Cruiser 200 (АИ-95) гос.№ С011СВ72</v>
          </cell>
          <cell r="B1131" t="str">
            <v>ДСУ</v>
          </cell>
        </row>
        <row r="1132">
          <cell r="A1132" t="str">
            <v>ГАЗ 27055 гос.№ С045УА72</v>
          </cell>
          <cell r="B1132" t="str">
            <v>ДСУ</v>
          </cell>
        </row>
        <row r="1133">
          <cell r="A1133" t="str">
            <v>Грузовой-фургон Renault Dokker гос.№ С066УА72</v>
          </cell>
          <cell r="B1133" t="str">
            <v>ДСУ</v>
          </cell>
        </row>
        <row r="1134">
          <cell r="A1134" t="str">
            <v>ГАЗ 27057 гос.№ С106ТМ72</v>
          </cell>
          <cell r="B1134" t="str">
            <v>ДСУ</v>
          </cell>
        </row>
        <row r="1135">
          <cell r="A1135" t="str">
            <v>Toyota RAV4 гос.№ С151РТ72</v>
          </cell>
          <cell r="B1135" t="str">
            <v>ДСУ</v>
          </cell>
        </row>
        <row r="1136">
          <cell r="A1136" t="str">
            <v>Бортовой Hino FS1EUUA-QPR с КМУ гос.№ С160УО72</v>
          </cell>
          <cell r="B1136" t="str">
            <v>ДСУ</v>
          </cell>
        </row>
        <row r="1137">
          <cell r="A1137" t="str">
            <v>Renault Duster гос.№ С231УА72</v>
          </cell>
          <cell r="B1137" t="str">
            <v>ДСУ</v>
          </cell>
        </row>
        <row r="1138">
          <cell r="A1138" t="str">
            <v>Mitsubishi L-200 2.4 гос.№ С688УЕ72</v>
          </cell>
          <cell r="B1138" t="str">
            <v>ДСУ</v>
          </cell>
        </row>
        <row r="1139">
          <cell r="A1139" t="str">
            <v>Самосвал КамАЗ 6520-06 гос.№ С903ЕО72</v>
          </cell>
          <cell r="B1139" t="str">
            <v>ДСУ</v>
          </cell>
        </row>
        <row r="1140">
          <cell r="A1140" t="str">
            <v>Машина дорожная комбинированная АПМ-10.0 гос.№ С972ХТ72</v>
          </cell>
          <cell r="B1140" t="str">
            <v>ДСУ</v>
          </cell>
        </row>
        <row r="1141">
          <cell r="A1141" t="str">
            <v>Toyota Land Cruiser 150 (Prado) гос.№ С989УО72</v>
          </cell>
          <cell r="B1141" t="str">
            <v>ДСУ</v>
          </cell>
        </row>
        <row r="1142">
          <cell r="A1142" t="str">
            <v>Renault Duster гос.№ С999ХТ72</v>
          </cell>
          <cell r="B1142" t="str">
            <v>ДСУ</v>
          </cell>
        </row>
        <row r="1143">
          <cell r="A1143" t="str">
            <v>Автогудронатор MASSENZA B6 на шасси КАМАЗ43253 гос.№ Т147РН72</v>
          </cell>
          <cell r="B1143" t="str">
            <v>ДСУ</v>
          </cell>
        </row>
        <row r="1144">
          <cell r="A1144" t="str">
            <v>ГАЗель Next гос.№ Т482КН72</v>
          </cell>
          <cell r="B1144" t="str">
            <v>ДСУ</v>
          </cell>
        </row>
        <row r="1145">
          <cell r="A1145" t="str">
            <v>Renault Duster гос.№ Т653КН72</v>
          </cell>
          <cell r="B1145" t="str">
            <v>ДСУ</v>
          </cell>
        </row>
        <row r="1146">
          <cell r="A1146" t="str">
            <v>Машина дорожная комбинированная АПМ-10.0 гос.№ Т829МТ72</v>
          </cell>
          <cell r="B1146" t="str">
            <v>ДСУ</v>
          </cell>
        </row>
        <row r="1147">
          <cell r="A1147" t="str">
            <v>Манипулятор Бортовой Hino 7323 E2 с КМУ гос.№ Т831СВ72</v>
          </cell>
          <cell r="B1147" t="str">
            <v>ДСУ</v>
          </cell>
        </row>
        <row r="1148">
          <cell r="A1148" t="str">
            <v>Бортовой ГАЗ А22R32 гос.№ Т951РХ72</v>
          </cell>
          <cell r="B1148" t="str">
            <v>ДСУ</v>
          </cell>
        </row>
        <row r="1149">
          <cell r="A1149" t="str">
            <v>Renault Duster гос.№ Т972ММ72</v>
          </cell>
          <cell r="B1149" t="str">
            <v>ДСУ</v>
          </cell>
        </row>
        <row r="1150">
          <cell r="A1150" t="str">
            <v>ГАЗ GaZeIIe NEXT А32R33 гос.№ У531ОХ72</v>
          </cell>
          <cell r="B1150" t="str">
            <v>ДСУ</v>
          </cell>
        </row>
        <row r="1151">
          <cell r="A1151" t="str">
            <v>Автобус ГАЗ A65R35 гос.№ Х487РС96</v>
          </cell>
          <cell r="B1151" t="str">
            <v>ДСУ</v>
          </cell>
        </row>
        <row r="1152">
          <cell r="A1152" t="str">
            <v>Каток дорожный Caterpillar CS76 гос.№ 0208ОА72</v>
          </cell>
          <cell r="B1152" t="str">
            <v>ДСУ</v>
          </cell>
        </row>
        <row r="1153">
          <cell r="A1153" t="str">
            <v>Экскаватор-погрузчик Caterpillar 434E гос.№ 0321ОА72</v>
          </cell>
          <cell r="B1153" t="str">
            <v>ДСУ</v>
          </cell>
        </row>
        <row r="1154">
          <cell r="A1154" t="str">
            <v>(СПИСАН) Каток Dynapac CS142 гос.№ 0375ТА72</v>
          </cell>
          <cell r="B1154" t="str">
            <v>ДСУ</v>
          </cell>
        </row>
        <row r="1155">
          <cell r="A1155" t="str">
            <v>Каток Dynapac CC224CHF гос.№ 0378ТА72</v>
          </cell>
          <cell r="B1155" t="str">
            <v>ДСУ</v>
          </cell>
        </row>
        <row r="1156">
          <cell r="A1156" t="str">
            <v>Каток Dynapac CC424HF гос.№ 0379ТА72</v>
          </cell>
          <cell r="B1156" t="str">
            <v>ДСУ</v>
          </cell>
        </row>
        <row r="1157">
          <cell r="A1157" t="str">
            <v>Асфальтоукладчик Volvo ABG6820 гос.№ 0380ТА72</v>
          </cell>
          <cell r="B1157" t="str">
            <v>ДСУ</v>
          </cell>
        </row>
        <row r="1158">
          <cell r="A1158" t="str">
            <v>Каток дорожный Volvo SD130 гос.№ 0383ТА72</v>
          </cell>
          <cell r="B1158" t="str">
            <v>ДСУ</v>
          </cell>
        </row>
        <row r="1159">
          <cell r="A1159" t="str">
            <v>Автогрейдер Volvo G946 гос.№ 0385ТА72</v>
          </cell>
          <cell r="B1159" t="str">
            <v>ДСУ</v>
          </cell>
        </row>
        <row r="1160">
          <cell r="A1160" t="str">
            <v>Бульдозер Komatsu D65E-12 гос.№ 1372ТО72</v>
          </cell>
          <cell r="B1160" t="str">
            <v>ДСУ</v>
          </cell>
        </row>
        <row r="1161">
          <cell r="A1161" t="str">
            <v>Минипогрузчик Case SV300B гос.№ 1701ОВ72</v>
          </cell>
          <cell r="B1161" t="str">
            <v>ДСУ</v>
          </cell>
        </row>
        <row r="1162">
          <cell r="A1162" t="str">
            <v>Экскаватор-погрузчик CASE 695ST гос.№ 1702ОВ72</v>
          </cell>
          <cell r="B1162" t="str">
            <v>ДСУ</v>
          </cell>
        </row>
        <row r="1163">
          <cell r="A1163" t="str">
            <v>Экскаватор Doosan DX190WA гос.№ 1717ОВ72</v>
          </cell>
          <cell r="B1163" t="str">
            <v>ДСУ</v>
          </cell>
        </row>
        <row r="1164">
          <cell r="A1164" t="str">
            <v>Мачта осветительная VT-EVO 4X290W LED Kubota гос.№ 186</v>
          </cell>
          <cell r="B1164" t="str">
            <v>ДСУ</v>
          </cell>
        </row>
        <row r="1165">
          <cell r="A1165" t="str">
            <v>Фреза Wirtgen W150CF гос.№ 3191ОА72</v>
          </cell>
          <cell r="B1165" t="str">
            <v>ДСУ</v>
          </cell>
        </row>
        <row r="1166">
          <cell r="A1166" t="str">
            <v>(СПИСАН) Бульдозер гусеничный Caterpillar D6R гос.№ 4845ТО72</v>
          </cell>
          <cell r="B1166" t="str">
            <v>ДСУ</v>
          </cell>
        </row>
        <row r="1167">
          <cell r="A1167" t="str">
            <v>Погрузчик XCMG LW300F гос.№ 5785ТК72</v>
          </cell>
          <cell r="B1167" t="str">
            <v>ДСУ</v>
          </cell>
        </row>
        <row r="1168">
          <cell r="A1168" t="str">
            <v>Погрузчик BOBCAT S770 гос.№ 6311ОВ72</v>
          </cell>
          <cell r="B1168" t="str">
            <v>ДСУ</v>
          </cell>
        </row>
        <row r="1169">
          <cell r="A1169" t="str">
            <v>Каток дорожный Caterpillar CS533E гос.№ 6513ОА72</v>
          </cell>
          <cell r="B1169" t="str">
            <v>ДСУ</v>
          </cell>
        </row>
        <row r="1170">
          <cell r="A1170" t="str">
            <v>Каток Bomag BW218-D-40 гос.№ 6645ТА72</v>
          </cell>
          <cell r="B1170" t="str">
            <v>ДСУ</v>
          </cell>
        </row>
        <row r="1171">
          <cell r="A1171" t="str">
            <v>Каток Bomag BW206AD-50AM гос.№ 8874ОВ72</v>
          </cell>
          <cell r="B1171" t="str">
            <v>ДСУ</v>
          </cell>
        </row>
        <row r="1172">
          <cell r="A1172" t="str">
            <v>Каток HAMM HD70 гос.№ 6980ОА72</v>
          </cell>
          <cell r="B1172" t="str">
            <v>ДСУ</v>
          </cell>
        </row>
        <row r="1173">
          <cell r="A1173" t="str">
            <v>Каток HAMM HD110 гос.№ 6981ОА72</v>
          </cell>
          <cell r="B1173" t="str">
            <v>ДСУ</v>
          </cell>
        </row>
        <row r="1174">
          <cell r="A1174" t="str">
            <v>Каток тандемный вибрационный HAMM HD+140VV гос.№ 6982ОА72</v>
          </cell>
          <cell r="B1174" t="str">
            <v>ДСУ</v>
          </cell>
        </row>
        <row r="1175">
          <cell r="A1175" t="str">
            <v>Автогрейдер John Deere 672G гос.№ 6983ОА72</v>
          </cell>
          <cell r="B1175" t="str">
            <v>ДСУ</v>
          </cell>
        </row>
        <row r="1176">
          <cell r="A1176" t="str">
            <v>Асфальтоукладчик Volvo P7820C гос.№ 6986ОА72</v>
          </cell>
          <cell r="B1176" t="str">
            <v>ДСУ</v>
          </cell>
        </row>
        <row r="1177">
          <cell r="A1177" t="str">
            <v>Машина сваебойная ORTECO BTP1000HD гос.№ 6987ОА72</v>
          </cell>
          <cell r="B1177" t="str">
            <v>ДСУ</v>
          </cell>
        </row>
        <row r="1178">
          <cell r="A1178" t="str">
            <v>Каток HAMM HD12VV гос.№ 7045ОА72</v>
          </cell>
          <cell r="B1178" t="str">
            <v>ДСУ</v>
          </cell>
        </row>
        <row r="1179">
          <cell r="A1179" t="str">
            <v>Асфальтоукладчик Volvo ABG2820 гос.№ 7181ТО72</v>
          </cell>
          <cell r="B1179" t="str">
            <v>ДСУ</v>
          </cell>
        </row>
        <row r="1180">
          <cell r="A1180" t="str">
            <v>Каток HAMM 3412 гос.№ 7368ОВ72</v>
          </cell>
          <cell r="B1180" t="str">
            <v>ДСУ</v>
          </cell>
        </row>
        <row r="1181">
          <cell r="A1181" t="str">
            <v>Погрузчик Doosan DISD SD200 гос.№ 7500ОВ72</v>
          </cell>
          <cell r="B1181" t="str">
            <v>ДСУ</v>
          </cell>
        </row>
        <row r="1182">
          <cell r="A1182" t="str">
            <v>Погрузчик Doosan DISD SD200 гос.№ 7501ОВ72</v>
          </cell>
          <cell r="B1182" t="str">
            <v>ДСУ</v>
          </cell>
        </row>
        <row r="1183">
          <cell r="A1183" t="str">
            <v>Каток HAMM HD13VV гос.№ 7586ОВ72</v>
          </cell>
          <cell r="B1183" t="str">
            <v>ДСУ</v>
          </cell>
        </row>
        <row r="1184">
          <cell r="A1184" t="str">
            <v>Каток HAMM HD+140VV гос.№ 7589ОВ72</v>
          </cell>
          <cell r="B1184" t="str">
            <v>ДСУ</v>
          </cell>
        </row>
        <row r="1185">
          <cell r="A1185" t="str">
            <v>Каток HAMM 3414 гос.№ 7807ОА72</v>
          </cell>
          <cell r="B1185" t="str">
            <v>ДСУ</v>
          </cell>
        </row>
        <row r="1186">
          <cell r="A1186" t="str">
            <v>Каток дорожный Bomag BW213-D-5 гос.№ 7893ОА72</v>
          </cell>
          <cell r="B1186" t="str">
            <v>ДСУ</v>
          </cell>
        </row>
        <row r="1187">
          <cell r="A1187" t="str">
            <v>Каток дорожный Bomag BW216-D-40 гос.№ 7894ОА72</v>
          </cell>
          <cell r="B1187" t="str">
            <v>ДСУ</v>
          </cell>
        </row>
        <row r="1188">
          <cell r="A1188" t="str">
            <v>Автогрейдер Case 865B гос.№ 8023ОА72</v>
          </cell>
          <cell r="B1188" t="str">
            <v>ДСУ</v>
          </cell>
        </row>
        <row r="1189">
          <cell r="A1189" t="str">
            <v>Электростанция Airman SDG-25S гос.№ 81004</v>
          </cell>
          <cell r="B1189" t="str">
            <v>ДСУ</v>
          </cell>
        </row>
        <row r="1190">
          <cell r="A1190" t="str">
            <v>Электростанция Airman SDG-25S гос.№ 81053</v>
          </cell>
          <cell r="B1190" t="str">
            <v>ДСУ</v>
          </cell>
        </row>
        <row r="1191">
          <cell r="A1191" t="str">
            <v>Каток Bomag BW213-D-4 гос.№ 8617ТО72</v>
          </cell>
          <cell r="B1191" t="str">
            <v>ДСУ</v>
          </cell>
        </row>
        <row r="1192">
          <cell r="A1192" t="str">
            <v>Погрузчик Liugong CLG 842 гос.№ 8805ТУ72</v>
          </cell>
          <cell r="B1192" t="str">
            <v>ДСУ</v>
          </cell>
        </row>
        <row r="1193">
          <cell r="A1193" t="str">
            <v>Каток Dynapac CC2200 гос.№ 8824ОА72</v>
          </cell>
          <cell r="B1193" t="str">
            <v>ДСУ</v>
          </cell>
        </row>
        <row r="1194">
          <cell r="A1194" t="str">
            <v>Автогрейдер ГС-14.02 гос.№ 8825ОА72</v>
          </cell>
          <cell r="B1194" t="str">
            <v>ДСУ</v>
          </cell>
        </row>
        <row r="1195">
          <cell r="A1195" t="str">
            <v>Минипогрузчик Bobcat S770 гос.№ 8826ОА72</v>
          </cell>
          <cell r="B1195" t="str">
            <v>ДСУ</v>
          </cell>
        </row>
        <row r="1196">
          <cell r="A1196" t="str">
            <v>Каток Dynapac CC1300 гос.№ 8827ОА72</v>
          </cell>
          <cell r="B1196" t="str">
            <v>ДСУ</v>
          </cell>
        </row>
        <row r="1197">
          <cell r="A1197" t="str">
            <v>Каток Dynapac CА5000D гос.№ 8828ОА72</v>
          </cell>
          <cell r="B1197" t="str">
            <v>ДСУ</v>
          </cell>
        </row>
        <row r="1198">
          <cell r="A1198" t="str">
            <v>Минипогрузчик Case SV300B гос.№ 8931ОВ72</v>
          </cell>
          <cell r="B1198" t="str">
            <v>ДСУ</v>
          </cell>
        </row>
        <row r="1199">
          <cell r="A1199" t="str">
            <v>Погрузчик фронтальный Doosan DISD SD200 гос.№ 8932ОВ72</v>
          </cell>
          <cell r="B1199" t="str">
            <v>ДСУ</v>
          </cell>
        </row>
        <row r="1200">
          <cell r="A1200" t="str">
            <v>Погрузчик DOOSAN DISD SD300 гос.№ 9010ОВ72</v>
          </cell>
          <cell r="B1200" t="str">
            <v>ДСУ</v>
          </cell>
        </row>
        <row r="1201">
          <cell r="A1201" t="str">
            <v>Трактор МТЗ-82 гос.№ 9271ТО72</v>
          </cell>
          <cell r="B1201" t="str">
            <v>ДСУ</v>
          </cell>
        </row>
        <row r="1202">
          <cell r="A1202" t="str">
            <v>Экскаватор-погрузчик Komatsu WB-93R-5 гос.№ 9304ТУ72</v>
          </cell>
          <cell r="B1202" t="str">
            <v>ДСУ</v>
          </cell>
        </row>
        <row r="1203">
          <cell r="A1203" t="str">
            <v>(СПИСАН) Автогрейдер XCMG GR-180 гос.№ 9457ТО72</v>
          </cell>
          <cell r="B1203" t="str">
            <v>ДСУ</v>
          </cell>
        </row>
        <row r="1204">
          <cell r="A1204" t="str">
            <v>Погрузчик фронтальный Hyundai HL740-7 гос.№ 9460ТО72</v>
          </cell>
          <cell r="B1204" t="str">
            <v>ДСУ</v>
          </cell>
        </row>
        <row r="1205">
          <cell r="A1205" t="str">
            <v>Экскаватор Komatsu PC220-8 гос.№ 9477ТО72</v>
          </cell>
          <cell r="B1205" t="str">
            <v>ДСУ</v>
          </cell>
        </row>
        <row r="1206">
          <cell r="A1206" t="str">
            <v>Автобус FORD TRANSIT гос.№ АН94572</v>
          </cell>
          <cell r="B1206" t="str">
            <v>МО-15</v>
          </cell>
        </row>
        <row r="1207">
          <cell r="A1207" t="str">
            <v>Экскаватор-планировщик UDS-114 на ш.Tatra гос.№ А146НС86</v>
          </cell>
          <cell r="B1207" t="str">
            <v>МО-15</v>
          </cell>
        </row>
        <row r="1208">
          <cell r="A1208" t="str">
            <v>Toyota RAV4 гос.№ А679НЕ186</v>
          </cell>
          <cell r="B1208" t="str">
            <v>МО-15</v>
          </cell>
        </row>
        <row r="1209">
          <cell r="A1209" t="str">
            <v>Toyota Highlander гос.№ В015ХН86</v>
          </cell>
          <cell r="B1209" t="str">
            <v>МО-15</v>
          </cell>
        </row>
        <row r="1210">
          <cell r="A1210" t="str">
            <v>Автобус Урал 32551-0010-41 гос.№ В061ОН72</v>
          </cell>
          <cell r="B1210" t="str">
            <v>МО-15</v>
          </cell>
        </row>
        <row r="1211">
          <cell r="A1211" t="str">
            <v>Mitsubishi L-200 2.5 гос.№ В147ЕМ797</v>
          </cell>
          <cell r="B1211" t="str">
            <v>МО-15</v>
          </cell>
        </row>
        <row r="1212">
          <cell r="A1212" t="str">
            <v>Самосвал Scania P380-CB 6х4 EHZ гос.№ В472ХН86</v>
          </cell>
          <cell r="B1212" t="str">
            <v>МО-15</v>
          </cell>
        </row>
        <row r="1213">
          <cell r="A1213" t="str">
            <v>Автобус КАвЗ 4238-02 гос.№ В611УК86</v>
          </cell>
          <cell r="B1213" t="str">
            <v>МО-15</v>
          </cell>
        </row>
        <row r="1214">
          <cell r="A1214" t="str">
            <v>Бортовой ГАЗ 330232 2.9 гос.№ В649ХС86</v>
          </cell>
          <cell r="B1214" t="str">
            <v>МО-15</v>
          </cell>
        </row>
        <row r="1215">
          <cell r="A1215" t="str">
            <v>С/тягач Volvo FM Truck 6х4 12.8 гос.№ В653ХН86</v>
          </cell>
          <cell r="B1215" t="str">
            <v>МО-15</v>
          </cell>
        </row>
        <row r="1216">
          <cell r="A1216" t="str">
            <v>С/тягач Volvo FM Truck 6х4 12.8 гос.№ В654ХН86</v>
          </cell>
          <cell r="B1216" t="str">
            <v>МО-15</v>
          </cell>
        </row>
        <row r="1217">
          <cell r="A1217" t="str">
            <v>Автобус КАвЗ 4238-02 гос.№ В912ЕР790</v>
          </cell>
          <cell r="B1217" t="str">
            <v>МО-15</v>
          </cell>
        </row>
        <row r="1218">
          <cell r="A1218" t="str">
            <v>Автобус КАвЗ 397620 гос.№ В940РА86</v>
          </cell>
          <cell r="B1218" t="str">
            <v>МО-15</v>
          </cell>
        </row>
        <row r="1219">
          <cell r="A1219" t="str">
            <v>Toyota Camry 2.4 гос.№ Е897УТ750</v>
          </cell>
          <cell r="B1219" t="str">
            <v>МО-15</v>
          </cell>
        </row>
        <row r="1220">
          <cell r="A1220" t="str">
            <v>Mitsubishi Outlander 2.4 гос.№ Е969СВ86</v>
          </cell>
          <cell r="B1220" t="str">
            <v>МО-15</v>
          </cell>
        </row>
        <row r="1221">
          <cell r="A1221" t="str">
            <v>Chevrolet Niva гос.№ К106ТМ86</v>
          </cell>
          <cell r="B1221" t="str">
            <v>МО-15</v>
          </cell>
        </row>
        <row r="1222">
          <cell r="A1222" t="str">
            <v>Вахтовый автобус Камаз 4237В2 гос.№ К119ТХ750</v>
          </cell>
          <cell r="B1222" t="str">
            <v>МО-15</v>
          </cell>
        </row>
        <row r="1223">
          <cell r="A1223" t="str">
            <v>Renault Duster гос.№ К319ТХ750</v>
          </cell>
          <cell r="B1223" t="str">
            <v>МО-15</v>
          </cell>
        </row>
        <row r="1224">
          <cell r="A1224" t="str">
            <v>Renault Duster гос.№ К356ТХ750</v>
          </cell>
          <cell r="B1224" t="str">
            <v>МО-15</v>
          </cell>
        </row>
        <row r="1225">
          <cell r="A1225" t="str">
            <v>Самосвал Tatra Т815-2А 2AOS01 6х6.2 гос.№ К460АА186</v>
          </cell>
          <cell r="B1225" t="str">
            <v>МО-15</v>
          </cell>
        </row>
        <row r="1226">
          <cell r="A1226" t="str">
            <v>МО-15 А/бетоносмес. КамАЗ 53228А гос.№ К538АА186</v>
          </cell>
          <cell r="B1226" t="str">
            <v>МО-15</v>
          </cell>
        </row>
        <row r="1227">
          <cell r="A1227" t="str">
            <v>КамАЗ 44108-24 гос.№ К539АА186</v>
          </cell>
          <cell r="B1227" t="str">
            <v>МО-15</v>
          </cell>
        </row>
        <row r="1228">
          <cell r="A1228" t="str">
            <v>Самосвал Камаз 55111 гос.№ К568СТ86</v>
          </cell>
          <cell r="B1228" t="str">
            <v>МО-15</v>
          </cell>
        </row>
        <row r="1229">
          <cell r="A1229" t="str">
            <v>С/тягач VOLVO FM-Truck6х4 гос.№ К648АА186</v>
          </cell>
          <cell r="B1229" t="str">
            <v>МО-15</v>
          </cell>
        </row>
        <row r="1230">
          <cell r="A1230" t="str">
            <v>С/тягач Volvo FM Truck 6х4 гос.№ К876АА186</v>
          </cell>
          <cell r="B1230" t="str">
            <v>МО-15</v>
          </cell>
        </row>
        <row r="1231">
          <cell r="A1231" t="str">
            <v>ГАЗ -A22R33 гос.№ М284ХС750</v>
          </cell>
          <cell r="B1231" t="str">
            <v>МО-15</v>
          </cell>
        </row>
        <row r="1232">
          <cell r="A1232" t="str">
            <v>Автокран КС-45717-2Р на шасси Урал 4320 гос.№ М342ХС750</v>
          </cell>
          <cell r="B1232" t="str">
            <v>МО-15</v>
          </cell>
        </row>
        <row r="1233">
          <cell r="A1233" t="str">
            <v>Автокран КС-45717-2Р на шасси Урал 4320 гос.№ М402ХС750</v>
          </cell>
          <cell r="B1233" t="str">
            <v>МО-15</v>
          </cell>
        </row>
        <row r="1234">
          <cell r="A1234" t="str">
            <v>Автокран КС-45717-1Р на шасси Урал 4320 гос.№ М859ВР797</v>
          </cell>
          <cell r="B1234" t="str">
            <v>МО-15</v>
          </cell>
        </row>
        <row r="1235">
          <cell r="A1235" t="str">
            <v>TOYOTA LAND CRUISER 100 4.7 гос.№ Н015УК777</v>
          </cell>
          <cell r="B1235" t="str">
            <v>МО-15</v>
          </cell>
        </row>
        <row r="1236">
          <cell r="A1236" t="str">
            <v>Бортовой Hino FS1EUTA-QPR с КМУ гос.№ Н207ХК750</v>
          </cell>
          <cell r="B1236" t="str">
            <v>МО-15</v>
          </cell>
        </row>
        <row r="1237">
          <cell r="A1237" t="str">
            <v>Бортовой Ford Transit 3227AR гос.№ Н885УУ72</v>
          </cell>
          <cell r="B1237" t="str">
            <v>МО-15</v>
          </cell>
        </row>
        <row r="1238">
          <cell r="A1238" t="str">
            <v>LEXUS RX 300 гос.№ Н916ХЕ750</v>
          </cell>
          <cell r="B1238" t="str">
            <v>МО-15</v>
          </cell>
        </row>
        <row r="1239">
          <cell r="A1239" t="str">
            <v>ГАЗ А22R33 гос.№ О440ХА750</v>
          </cell>
          <cell r="B1239" t="str">
            <v>МО-15</v>
          </cell>
        </row>
        <row r="1240">
          <cell r="A1240" t="str">
            <v>УАЗ гос.№ О460ТА750</v>
          </cell>
          <cell r="B1240" t="str">
            <v>МО-15</v>
          </cell>
        </row>
        <row r="1241">
          <cell r="A1241" t="str">
            <v>Renault Duster гос.№ О592АР790</v>
          </cell>
          <cell r="B1241" t="str">
            <v>МО-15</v>
          </cell>
        </row>
        <row r="1242">
          <cell r="A1242" t="str">
            <v>Бортовой УАЗ 236324 Profi гос.№ Р399УО750</v>
          </cell>
          <cell r="B1242" t="str">
            <v>МО-15</v>
          </cell>
        </row>
        <row r="1243">
          <cell r="A1243" t="str">
            <v>Toyota Land Cruiser Prado гос.№ Т536УМ750</v>
          </cell>
          <cell r="B1243" t="str">
            <v>МО-15</v>
          </cell>
        </row>
        <row r="1244">
          <cell r="A1244" t="str">
            <v>Mitsubishi Outlander 2.4 гос.№ Т658АН186</v>
          </cell>
          <cell r="B1244" t="str">
            <v>МО-15</v>
          </cell>
        </row>
        <row r="1245">
          <cell r="A1245" t="str">
            <v>Автобус НефАЗ 5299-0000011-42 гос.№ Т688ЕЕ790</v>
          </cell>
          <cell r="B1245" t="str">
            <v>МО-15</v>
          </cell>
        </row>
        <row r="1246">
          <cell r="A1246" t="str">
            <v>Бортовой Ford Transit Double Cab гос.№ У154УС750</v>
          </cell>
          <cell r="B1246" t="str">
            <v>МО-15</v>
          </cell>
        </row>
        <row r="1247">
          <cell r="A1247" t="str">
            <v>Автокран КС-45717-1Р на шасси Урал 4320 гос.№ У210УС750</v>
          </cell>
          <cell r="B1247" t="str">
            <v>МО-15</v>
          </cell>
        </row>
        <row r="1248">
          <cell r="A1248" t="str">
            <v>Автокран Liebherr LTM-1040-2.1 гос.№ У272ТУ750</v>
          </cell>
          <cell r="B1248" t="str">
            <v>МО-15</v>
          </cell>
        </row>
        <row r="1249">
          <cell r="A1249" t="str">
            <v>Автокран Liebherr LTM-1040-2.1 гос.№ У334ТУ750</v>
          </cell>
          <cell r="B1249" t="str">
            <v>МО-15</v>
          </cell>
        </row>
        <row r="1250">
          <cell r="A1250" t="str">
            <v>Автокран Liebherr LTM-1040-2.1 гос.№ У388ТУ750</v>
          </cell>
          <cell r="B1250" t="str">
            <v>МО-15</v>
          </cell>
        </row>
        <row r="1251">
          <cell r="A1251" t="str">
            <v>А/бетоносмес. Volvo FM Truck 6x4 гос.№ У513ЕВ790</v>
          </cell>
          <cell r="B1251" t="str">
            <v>МО-15</v>
          </cell>
        </row>
        <row r="1252">
          <cell r="A1252" t="str">
            <v>А/бетоносмес. Volvo FM Truck 6x4 гос.№ У567ЕВ790</v>
          </cell>
          <cell r="B1252" t="str">
            <v>МО-15</v>
          </cell>
        </row>
        <row r="1253">
          <cell r="A1253" t="str">
            <v>С/тягач КамАЗ 5410 гос.№ У693ЕТ86</v>
          </cell>
          <cell r="B1253" t="str">
            <v>МО-15</v>
          </cell>
        </row>
        <row r="1254">
          <cell r="A1254" t="str">
            <v>Renault Duster гос.№ Х359АА790</v>
          </cell>
          <cell r="B1254" t="str">
            <v>МО-15</v>
          </cell>
        </row>
        <row r="1255">
          <cell r="A1255" t="str">
            <v>Автобус КАвЗ 4238-41 гос.№ Х642ХС750</v>
          </cell>
          <cell r="B1255" t="str">
            <v>МО-15</v>
          </cell>
        </row>
        <row r="1256">
          <cell r="A1256" t="str">
            <v>Автобус КАвЗ 4238-41 гос.№ Х651ХС750</v>
          </cell>
          <cell r="B1256" t="str">
            <v>МО-15</v>
          </cell>
        </row>
        <row r="1257">
          <cell r="A1257" t="str">
            <v>Автобус КАвЗ 4238-42 гос.№ Х693ХС750</v>
          </cell>
          <cell r="B1257" t="str">
            <v>МО-15</v>
          </cell>
        </row>
        <row r="1258">
          <cell r="A1258" t="str">
            <v>Бортовой ГАЗ 3302 2.5 гос.№ Х938ТА86</v>
          </cell>
          <cell r="B1258" t="str">
            <v>МО-15</v>
          </cell>
        </row>
        <row r="1259">
          <cell r="A1259" t="str">
            <v>МО-15 Автобус НефАЗ 4208-13 на ш. КамАЗ 43114 гос.№ Х954ОЕ86</v>
          </cell>
          <cell r="B1259" t="str">
            <v>МО-15</v>
          </cell>
        </row>
        <row r="1260">
          <cell r="A1260" t="str">
            <v>С/тягач Volvo FM Truck 6х4 гос.№ Х998ТА86</v>
          </cell>
          <cell r="B1260" t="str">
            <v>МО-15</v>
          </cell>
        </row>
        <row r="1261">
          <cell r="A1261" t="str">
            <v>Электростанция Airman SDG-45S гос.№ 10010</v>
          </cell>
          <cell r="B1261" t="str">
            <v>МО-15</v>
          </cell>
        </row>
        <row r="1262">
          <cell r="A1262" t="str">
            <v>Дизель-генератор SDMO Montana J22 доп.(1395) гос.№ 1395</v>
          </cell>
          <cell r="B1262" t="str">
            <v>МО-15</v>
          </cell>
        </row>
        <row r="1263">
          <cell r="A1263" t="str">
            <v>Компрессор Airman PDS-390SC гос.№ 1508</v>
          </cell>
          <cell r="B1263" t="str">
            <v>МО-15</v>
          </cell>
        </row>
        <row r="1264">
          <cell r="A1264" t="str">
            <v>Электростанция Airman SDG-150S гос.№ 1804</v>
          </cell>
          <cell r="B1264" t="str">
            <v>МО-15</v>
          </cell>
        </row>
        <row r="1265">
          <cell r="A1265" t="str">
            <v>Электростанция Airman SDG-150S гос.№ 1907</v>
          </cell>
          <cell r="B1265" t="str">
            <v>МО-15</v>
          </cell>
        </row>
        <row r="1266">
          <cell r="A1266" t="str">
            <v>Электростанция Airman SDG-150S гос.№ 1957</v>
          </cell>
          <cell r="B1266" t="str">
            <v>МО-15</v>
          </cell>
        </row>
        <row r="1267">
          <cell r="A1267" t="str">
            <v>Электростанция Airman SDG-100S гос.№ 2043</v>
          </cell>
          <cell r="B1267" t="str">
            <v>МО-15</v>
          </cell>
        </row>
        <row r="1268">
          <cell r="A1268" t="str">
            <v>Электростанция Airman SDG-100S гос.№ 2044</v>
          </cell>
          <cell r="B1268" t="str">
            <v>МО-15</v>
          </cell>
        </row>
        <row r="1269">
          <cell r="A1269" t="str">
            <v>Электростанция Airman SDG-100S гос.№ 2048</v>
          </cell>
          <cell r="B1269" t="str">
            <v>МО-15</v>
          </cell>
        </row>
        <row r="1270">
          <cell r="A1270" t="str">
            <v>Электростанция Airman SDG-25S гос.№ 2363</v>
          </cell>
          <cell r="B1270" t="str">
            <v>МО-15</v>
          </cell>
        </row>
        <row r="1271">
          <cell r="A1271" t="str">
            <v>Электростанция Airman SDG-150S гос.№ 3292</v>
          </cell>
          <cell r="B1271" t="str">
            <v>МО-15</v>
          </cell>
        </row>
        <row r="1272">
          <cell r="A1272" t="str">
            <v>AIRMAN SDG 100S гос.№ 3299</v>
          </cell>
          <cell r="B1272" t="str">
            <v>МО-15</v>
          </cell>
        </row>
        <row r="1273">
          <cell r="A1273" t="str">
            <v>AIRMAN SDG 100S гос.№ 3300</v>
          </cell>
          <cell r="B1273" t="str">
            <v>МО-15</v>
          </cell>
        </row>
        <row r="1274">
          <cell r="A1274" t="str">
            <v>AIRMAN SDG 100S гос.№ 3301</v>
          </cell>
          <cell r="B1274" t="str">
            <v>МО-15</v>
          </cell>
        </row>
        <row r="1275">
          <cell r="A1275" t="str">
            <v>AIRMAN SDG 100S гос.№ 3302</v>
          </cell>
          <cell r="B1275" t="str">
            <v>МО-15</v>
          </cell>
        </row>
        <row r="1276">
          <cell r="A1276" t="str">
            <v>AIRMAN SDG 100S гос.№ 3303</v>
          </cell>
          <cell r="B1276" t="str">
            <v>МО-15</v>
          </cell>
        </row>
        <row r="1277">
          <cell r="A1277" t="str">
            <v>Электростанция Airman SDG-25S гос.№ 3362</v>
          </cell>
          <cell r="B1277" t="str">
            <v>МО-15</v>
          </cell>
        </row>
        <row r="1278">
          <cell r="A1278" t="str">
            <v>Экскаватор Komatsu PC270 гос.№ 3724ХЕ50</v>
          </cell>
          <cell r="B1278" t="str">
            <v>МО-15</v>
          </cell>
        </row>
        <row r="1279">
          <cell r="A1279" t="str">
            <v>Кран стреловой самоходный Grove RT765E-2 гос.№ 3725ХЕ50</v>
          </cell>
          <cell r="B1279" t="str">
            <v>МО-15</v>
          </cell>
        </row>
        <row r="1280">
          <cell r="A1280" t="str">
            <v>Кран гусеничный IHI CCH-700 гос.№ 3726ХЕ50</v>
          </cell>
          <cell r="B1280" t="str">
            <v>МО-15</v>
          </cell>
        </row>
        <row r="1281">
          <cell r="A1281" t="str">
            <v>Кран гусеничный IHI CCH-700 гос.№ 3727ХЕ50</v>
          </cell>
          <cell r="B1281" t="str">
            <v>МО-15</v>
          </cell>
        </row>
        <row r="1282">
          <cell r="A1282" t="str">
            <v>Экскаватор-погрузчик Case 695ST гос.№ 3806ХО50</v>
          </cell>
          <cell r="B1282" t="str">
            <v>МО-15</v>
          </cell>
        </row>
        <row r="1283">
          <cell r="A1283" t="str">
            <v>Бульдозер Komatsu D65E-12 гос.№ 3993ХЕ50</v>
          </cell>
          <cell r="B1283" t="str">
            <v>МО-15</v>
          </cell>
        </row>
        <row r="1284">
          <cell r="A1284" t="str">
            <v>Компрессор AIRMAN PDS 390S гос.№ 6858</v>
          </cell>
          <cell r="B1284" t="str">
            <v>МО-15</v>
          </cell>
        </row>
        <row r="1285">
          <cell r="A1285" t="str">
            <v>Компрессор AIRMAN PDS 390S гос.№ 6859</v>
          </cell>
          <cell r="B1285" t="str">
            <v>МО-15</v>
          </cell>
        </row>
        <row r="1286">
          <cell r="A1286" t="str">
            <v>Электростанция Airman SDG-25S гос.№ 81000</v>
          </cell>
          <cell r="B1286" t="str">
            <v>МО-15</v>
          </cell>
        </row>
        <row r="1287">
          <cell r="A1287" t="str">
            <v>Электростанция Airman SDG-25S гос.№ 81001</v>
          </cell>
          <cell r="B1287" t="str">
            <v>МО-15</v>
          </cell>
        </row>
        <row r="1288">
          <cell r="A1288" t="str">
            <v>Экскаватор колесный Hyundai R170W-7 гос.№ 8203ОВ72</v>
          </cell>
          <cell r="B1288" t="str">
            <v>МО-15</v>
          </cell>
        </row>
        <row r="1289">
          <cell r="A1289" t="str">
            <v>Автокран Тadano GT-550E гос.№ 8252НА86</v>
          </cell>
          <cell r="B1289" t="str">
            <v>МО-15</v>
          </cell>
        </row>
        <row r="1290">
          <cell r="A1290" t="str">
            <v>Кран гусеничный Hitachi KH-180-3 гос.№ 8726ХР86</v>
          </cell>
          <cell r="B1290" t="str">
            <v>МО-15</v>
          </cell>
        </row>
        <row r="1291">
          <cell r="A1291" t="str">
            <v>Трактор ДТ-75РРС2 гос.№ 8736ХР86</v>
          </cell>
          <cell r="B1291" t="str">
            <v>МО-15</v>
          </cell>
        </row>
        <row r="1292">
          <cell r="A1292" t="str">
            <v>Автопогрузчик 40810 гос.№ 8738ХР86</v>
          </cell>
          <cell r="B1292" t="str">
            <v>МО-15</v>
          </cell>
        </row>
        <row r="1293">
          <cell r="A1293" t="str">
            <v>Трактор МТЗ-80 гос.№ 8742ХР86</v>
          </cell>
          <cell r="B1293" t="str">
            <v>МО-15</v>
          </cell>
        </row>
        <row r="1294">
          <cell r="A1294" t="str">
            <v>Бульдозер ДЗ-171 гос.№ 8744ХР86</v>
          </cell>
          <cell r="B1294" t="str">
            <v>МО-15</v>
          </cell>
        </row>
        <row r="1295">
          <cell r="A1295" t="str">
            <v>Бульдозер Liebherr PR 734 L GP гос.№ 9723ХО50</v>
          </cell>
          <cell r="B1295" t="str">
            <v>МО-15</v>
          </cell>
        </row>
        <row r="1296">
          <cell r="A1296" t="str">
            <v>Экскаватор Liebherr R922 LC гос.№ 9748ХО50</v>
          </cell>
          <cell r="B1296" t="str">
            <v>МО-15</v>
          </cell>
        </row>
        <row r="1297">
          <cell r="A1297" t="str">
            <v>Экскаватор-погрузчик Case 695ST гос.№ 9831ХО50</v>
          </cell>
          <cell r="B1297" t="str">
            <v>МО-15</v>
          </cell>
        </row>
        <row r="1298">
          <cell r="A1298" t="str">
            <v>Бортовой ГАЗ 330232 2.8 гос.№ А088АВ186</v>
          </cell>
          <cell r="B1298" t="str">
            <v>МО-29</v>
          </cell>
        </row>
        <row r="1299">
          <cell r="A1299" t="str">
            <v>Бортовой КамАЗ 43118-26 гос.№ А239ЕУ186</v>
          </cell>
          <cell r="B1299" t="str">
            <v>МО-29</v>
          </cell>
        </row>
        <row r="1300">
          <cell r="A1300" t="str">
            <v>КАМАЗ 4310 гос.№ А298ВТ186</v>
          </cell>
          <cell r="B1300" t="str">
            <v>МО-29</v>
          </cell>
        </row>
        <row r="1301">
          <cell r="A1301" t="str">
            <v>Toyota Land Cruiser 150 (Prado) гос.№ А308ХЕ186</v>
          </cell>
          <cell r="B1301" t="str">
            <v>МО-29</v>
          </cell>
        </row>
        <row r="1302">
          <cell r="A1302" t="str">
            <v>КАМАЗ 65115 С гос.№ А343ВМ186</v>
          </cell>
          <cell r="B1302" t="str">
            <v>МО-29</v>
          </cell>
        </row>
        <row r="1303">
          <cell r="A1303" t="str">
            <v>ВАЗ 2121 гос.№ А412ЕЕ186</v>
          </cell>
          <cell r="B1303" t="str">
            <v>МО-29</v>
          </cell>
        </row>
        <row r="1304">
          <cell r="A1304" t="str">
            <v>Автоцистерна 473899 на шасси ГАЗ 3309 гос.№ А859ОР86</v>
          </cell>
          <cell r="B1304" t="str">
            <v>МО-29</v>
          </cell>
        </row>
        <row r="1305">
          <cell r="A1305" t="str">
            <v>Полуприцеп ТСМ 99393 гос.№ ВА546872</v>
          </cell>
          <cell r="B1305" t="str">
            <v>МО-29</v>
          </cell>
        </row>
        <row r="1306">
          <cell r="A1306" t="str">
            <v>Toyota Highlander (АИ-92) гос.№ В029АУ186</v>
          </cell>
          <cell r="B1306" t="str">
            <v>МО-29</v>
          </cell>
        </row>
        <row r="1307">
          <cell r="A1307" t="str">
            <v>ГАЗ 13 гос.№ В142СЕ186</v>
          </cell>
          <cell r="B1307" t="str">
            <v>МО-29</v>
          </cell>
        </row>
        <row r="1308">
          <cell r="A1308" t="str">
            <v>Бортовой УАЗ 236324 Profi гос.№ В166ВУ186</v>
          </cell>
          <cell r="B1308" t="str">
            <v>МО-29</v>
          </cell>
        </row>
        <row r="1309">
          <cell r="A1309" t="str">
            <v>ГАЗ 3302 гос.№ В253СТ86</v>
          </cell>
          <cell r="B1309" t="str">
            <v>МО-29</v>
          </cell>
        </row>
        <row r="1310">
          <cell r="A1310" t="str">
            <v>Автокран КС-45717-1 на ш. Урал гос.№ В520УС86</v>
          </cell>
          <cell r="B1310" t="str">
            <v>МО-29</v>
          </cell>
        </row>
        <row r="1311">
          <cell r="A1311" t="str">
            <v>Автокран КС-35714 на шасси Урал-5557 гос.№ В632РА86</v>
          </cell>
          <cell r="B1311" t="str">
            <v>МО-29</v>
          </cell>
        </row>
        <row r="1312">
          <cell r="A1312" t="str">
            <v>Камаз 4237В2 гос.№ В862ЕУ186</v>
          </cell>
          <cell r="B1312" t="str">
            <v>МО-29</v>
          </cell>
        </row>
        <row r="1313">
          <cell r="A1313" t="str">
            <v>Автокран МКАТ-20 на шасси КрАЗ 65101 гос.№ Е003АР186</v>
          </cell>
          <cell r="B1313" t="str">
            <v>МО-29</v>
          </cell>
        </row>
        <row r="1314">
          <cell r="A1314" t="str">
            <v>Автокран КС-45717К-1 на шасси КамАЗ 5320 гос.№ Е005АР186</v>
          </cell>
          <cell r="B1314" t="str">
            <v>МО-29</v>
          </cell>
        </row>
        <row r="1315">
          <cell r="A1315" t="str">
            <v>Автокран МКТ-25.3 на шасси КамАЗ-53228 гос.№ Е007АР186</v>
          </cell>
          <cell r="B1315" t="str">
            <v>МО-29</v>
          </cell>
        </row>
        <row r="1316">
          <cell r="A1316" t="str">
            <v>Toyota Land Cruiser 200 (АИ-92) гос.№ Е029АР186</v>
          </cell>
          <cell r="B1316" t="str">
            <v>МО-29</v>
          </cell>
        </row>
        <row r="1317">
          <cell r="A1317" t="str">
            <v>Фургон ГАЗ 2752 гос.№ Е029НН86</v>
          </cell>
          <cell r="B1317" t="str">
            <v>МО-29</v>
          </cell>
        </row>
        <row r="1318">
          <cell r="A1318" t="str">
            <v>ВАЗ 21074 гос.№ Е040АР186</v>
          </cell>
          <cell r="B1318" t="str">
            <v>МО-29</v>
          </cell>
        </row>
        <row r="1319">
          <cell r="A1319" t="str">
            <v>УАЗ Патриот гос.№ Е430ХН86</v>
          </cell>
          <cell r="B1319" t="str">
            <v>МО-29</v>
          </cell>
        </row>
        <row r="1320">
          <cell r="A1320" t="str">
            <v>Автобус КАвЗ 4238-02 гос.№ Е784ХО86</v>
          </cell>
          <cell r="B1320" t="str">
            <v>МО-29</v>
          </cell>
        </row>
        <row r="1321">
          <cell r="A1321" t="str">
            <v>А/бетоносмес. АБС-58142 на шасси КамАЗ 55111 гос.№ К072РВ86</v>
          </cell>
          <cell r="B1321" t="str">
            <v>МО-29</v>
          </cell>
        </row>
        <row r="1322">
          <cell r="A1322" t="str">
            <v>МО-29 Автобус НефАЗ 4208-03 гос.№ К120НУ86</v>
          </cell>
          <cell r="B1322" t="str">
            <v>МО-29</v>
          </cell>
        </row>
        <row r="1323">
          <cell r="A1323" t="str">
            <v>Бортовой 3009D6 гос.№ К228ВВ186</v>
          </cell>
          <cell r="B1323" t="str">
            <v>МО-29</v>
          </cell>
        </row>
        <row r="1324">
          <cell r="A1324" t="str">
            <v>МО-29 А/бетоносмес. КамАЗ 53229-15 гос.№ К370СС86</v>
          </cell>
          <cell r="B1324" t="str">
            <v>МО-29</v>
          </cell>
        </row>
        <row r="1325">
          <cell r="A1325" t="str">
            <v>С/тягач КамАЗ 44108-24 гос.№ К409АН86</v>
          </cell>
          <cell r="B1325" t="str">
            <v>МО-29</v>
          </cell>
        </row>
        <row r="1326">
          <cell r="A1326" t="str">
            <v>Трубоплетевоз 640520 на базе КамАЗ 6520 гос.№ К427РА86</v>
          </cell>
          <cell r="B1326" t="str">
            <v>МО-29</v>
          </cell>
        </row>
        <row r="1327">
          <cell r="A1327" t="str">
            <v>С/тягач Volvo FM Truck 6х4 12.8 гос.№ К518АН186</v>
          </cell>
          <cell r="B1327" t="str">
            <v>МО-29</v>
          </cell>
        </row>
        <row r="1328">
          <cell r="A1328" t="str">
            <v>ГАЗ 33104 "ВАЛДАЙ" гос.№ К547СА86</v>
          </cell>
          <cell r="B1328" t="str">
            <v>МО-29</v>
          </cell>
        </row>
        <row r="1329">
          <cell r="A1329" t="str">
            <v>Автокран Liebherr LTM-1040-2.1 гос.№ К644НХ186</v>
          </cell>
          <cell r="B1329" t="str">
            <v>МО-29</v>
          </cell>
        </row>
        <row r="1330">
          <cell r="A1330" t="str">
            <v>МО-29 Автобус 222709 гос.№ К646АН186</v>
          </cell>
          <cell r="B1330" t="str">
            <v>МО-29</v>
          </cell>
        </row>
        <row r="1331">
          <cell r="A1331" t="str">
            <v>С/тягач КамАЗ 44108-24 гос.№ К656УС86</v>
          </cell>
          <cell r="B1331" t="str">
            <v>МО-29</v>
          </cell>
        </row>
        <row r="1332">
          <cell r="A1332" t="str">
            <v>Автобус НефАЗ 5299-0000011-42 гос.№ К725ЕТ186</v>
          </cell>
          <cell r="B1332" t="str">
            <v>МО-29</v>
          </cell>
        </row>
        <row r="1333">
          <cell r="A1333" t="str">
            <v>АТЗ Урал 5557-10 гос.№ М155ЕТ86</v>
          </cell>
          <cell r="B1333" t="str">
            <v>МО-29</v>
          </cell>
        </row>
        <row r="1334">
          <cell r="A1334" t="str">
            <v>С/тягач Volvo FM Truck 6х4 гос.№ М589ХС86</v>
          </cell>
          <cell r="B1334" t="str">
            <v>МО-29</v>
          </cell>
        </row>
        <row r="1335">
          <cell r="A1335" t="str">
            <v>С/тягач Volvo FM Truck 6х4 гос.№ М735АА186</v>
          </cell>
          <cell r="B1335" t="str">
            <v>МО-29</v>
          </cell>
        </row>
        <row r="1336">
          <cell r="A1336" t="str">
            <v>УАЗ 390945 гос.№ М971АЕ186</v>
          </cell>
          <cell r="B1336" t="str">
            <v>МО-29</v>
          </cell>
        </row>
        <row r="1337">
          <cell r="A1337" t="str">
            <v>МО-29 Автобус ГАЗ 32213 гос.№ Н428ХВ86</v>
          </cell>
          <cell r="B1337" t="str">
            <v>МО-29</v>
          </cell>
        </row>
        <row r="1338">
          <cell r="A1338" t="str">
            <v>МО-29 А/бетоносмес. 58147С на шасси КамАЗ 53229 гос.№ Н620ХВ86</v>
          </cell>
          <cell r="B1338" t="str">
            <v>МО-29</v>
          </cell>
        </row>
        <row r="1339">
          <cell r="A1339" t="str">
            <v>А/бетоносмес. 58147С на шасси КамАЗ 53229 гос.№ Н621ХВ86</v>
          </cell>
          <cell r="B1339" t="str">
            <v>МО-29</v>
          </cell>
        </row>
        <row r="1340">
          <cell r="A1340" t="str">
            <v>УАЗ 39099 "ФЕРМЕР" гос.№ О444ОУ86</v>
          </cell>
          <cell r="B1340" t="str">
            <v>МО-29</v>
          </cell>
        </row>
        <row r="1341">
          <cell r="A1341" t="str">
            <v>Автобус ГАЗ 2217 гос.№ Р044СО86</v>
          </cell>
          <cell r="B1341" t="str">
            <v>МО-29</v>
          </cell>
        </row>
        <row r="1342">
          <cell r="A1342" t="str">
            <v>С/тягач КамАЗ 44108-24 гос.№ Р046АА186</v>
          </cell>
          <cell r="B1342" t="str">
            <v>МО-29</v>
          </cell>
        </row>
        <row r="1343">
          <cell r="A1343" t="str">
            <v>С/тягач Volvo FM Truck 6х4 12.8 гос.№ Р128АА186</v>
          </cell>
          <cell r="B1343" t="str">
            <v>МО-29</v>
          </cell>
        </row>
        <row r="1344">
          <cell r="A1344" t="str">
            <v>Самосвал Tatra Т815-2А 2AOS01 6х6.2 гос.№ Р853СО86</v>
          </cell>
          <cell r="B1344" t="str">
            <v>МО-29</v>
          </cell>
        </row>
        <row r="1345">
          <cell r="A1345" t="str">
            <v>Самосвал Tatra Т815-2А 2AOS01 6х6.2 гос.№ Р854СО86</v>
          </cell>
          <cell r="B1345" t="str">
            <v>МО-29</v>
          </cell>
        </row>
        <row r="1346">
          <cell r="A1346" t="str">
            <v>Автобус Урал 32551-0010 гос.№ Р953КХ86</v>
          </cell>
          <cell r="B1346" t="str">
            <v>МО-29</v>
          </cell>
        </row>
        <row r="1347">
          <cell r="A1347" t="str">
            <v>МО-29 А/бетоносмес. 58147D на ш.Камаз 65115-D3 гос.№ С024УО86</v>
          </cell>
          <cell r="B1347" t="str">
            <v>МО-29</v>
          </cell>
        </row>
        <row r="1348">
          <cell r="A1348" t="str">
            <v>Toyota Land Cruiser 150 (АИ-92) гос.№ С029ВВ186</v>
          </cell>
          <cell r="B1348" t="str">
            <v>МО-29</v>
          </cell>
        </row>
        <row r="1349">
          <cell r="A1349" t="str">
            <v>SCANIA R 114 LB 380 гос.№ С073ХУ86</v>
          </cell>
          <cell r="B1349" t="str">
            <v>МО-29</v>
          </cell>
        </row>
        <row r="1350">
          <cell r="A1350" t="str">
            <v>С/тягач КамАЗ 44108-24 гос.№ С075ХУ86</v>
          </cell>
          <cell r="B1350" t="str">
            <v>МО-29</v>
          </cell>
        </row>
        <row r="1351">
          <cell r="A1351" t="str">
            <v>МО-29 Автобус ПАЗ 32053-60 (АИ-80) гос.№ С243СТ86</v>
          </cell>
          <cell r="B1351" t="str">
            <v>МО-29</v>
          </cell>
        </row>
        <row r="1352">
          <cell r="A1352" t="str">
            <v>С/тягач Volvo FM Truck 6х4 12.8 гос.№ С429ХУ86</v>
          </cell>
          <cell r="B1352" t="str">
            <v>МО-29</v>
          </cell>
        </row>
        <row r="1353">
          <cell r="A1353" t="str">
            <v>С/тягач Volvo FM Truck 6х4 12.8 гос.№ С430ХУ86</v>
          </cell>
          <cell r="B1353" t="str">
            <v>МО-29</v>
          </cell>
        </row>
        <row r="1354">
          <cell r="A1354" t="str">
            <v>КАВЗ гос.№ С506ХУ86</v>
          </cell>
          <cell r="B1354" t="str">
            <v>МО-29</v>
          </cell>
        </row>
        <row r="1355">
          <cell r="A1355" t="str">
            <v>С/тягач Volvo FM Truck 6х4 12.8 гос.№ С773РН72</v>
          </cell>
          <cell r="B1355" t="str">
            <v>МО-29</v>
          </cell>
        </row>
        <row r="1356">
          <cell r="A1356" t="str">
            <v>МО-29 А/бетоносмес. 58147D на ш.Камаз 65115-D3 гос.№ Т404ХТ86</v>
          </cell>
          <cell r="B1356" t="str">
            <v>МО-29</v>
          </cell>
        </row>
        <row r="1357">
          <cell r="A1357" t="str">
            <v>Автокран Liebherr LTM-1040-2.1 гос.№ Т508ТХ72</v>
          </cell>
          <cell r="B1357" t="str">
            <v>МО-29</v>
          </cell>
        </row>
        <row r="1358">
          <cell r="A1358" t="str">
            <v>ВАЗ 212140 гос.№ У047ХР86</v>
          </cell>
          <cell r="B1358" t="str">
            <v>МО-29</v>
          </cell>
        </row>
        <row r="1359">
          <cell r="A1359" t="str">
            <v>Автокран КС-55713-5 на шасси КамАЗ 43118 гос.№ У226РХ86</v>
          </cell>
          <cell r="B1359" t="str">
            <v>МО-29</v>
          </cell>
        </row>
        <row r="1360">
          <cell r="A1360" t="str">
            <v>Автоцистерна ГАЗ 3309 гос.№ У359СХ86</v>
          </cell>
          <cell r="B1360" t="str">
            <v>МО-29</v>
          </cell>
        </row>
        <row r="1361">
          <cell r="A1361" t="str">
            <v>Фургон ГАЗ 2752 гос.№ У705СМ86</v>
          </cell>
          <cell r="B1361" t="str">
            <v>МО-29</v>
          </cell>
        </row>
        <row r="1362">
          <cell r="A1362" t="str">
            <v>УАЗ 390945 гос.№ У708ХТ86</v>
          </cell>
          <cell r="B1362" t="str">
            <v>МО-29</v>
          </cell>
        </row>
        <row r="1363">
          <cell r="A1363" t="str">
            <v>МО-29 Автобус НефАЗ 4208-13 гос.№ У778СМ86</v>
          </cell>
          <cell r="B1363" t="str">
            <v>МО-29</v>
          </cell>
        </row>
        <row r="1364">
          <cell r="A1364" t="str">
            <v>С/тягач КамАЗ 54115-15 гос.№ У897ХР86</v>
          </cell>
          <cell r="B1364" t="str">
            <v>МО-29</v>
          </cell>
        </row>
        <row r="1365">
          <cell r="A1365" t="str">
            <v>С/тягач Volvo FM Truck 6х4 12.8 гос.№ У912ХТ86</v>
          </cell>
          <cell r="B1365" t="str">
            <v>МО-29</v>
          </cell>
        </row>
        <row r="1366">
          <cell r="A1366" t="str">
            <v>С/тягач Volvo FM Truck 6х4 12.8 гос.№ Х206УС86</v>
          </cell>
          <cell r="B1366" t="str">
            <v>МО-29</v>
          </cell>
        </row>
        <row r="1367">
          <cell r="A1367" t="str">
            <v>Полуприцеп МАЗ 975800-2012 гос.№ 0374АР86</v>
          </cell>
          <cell r="B1367" t="str">
            <v>МО-29</v>
          </cell>
        </row>
        <row r="1368">
          <cell r="A1368" t="str">
            <v>SP-360PR гос.№ 0539АТ86</v>
          </cell>
          <cell r="B1368" t="str">
            <v>МО-29</v>
          </cell>
        </row>
        <row r="1369">
          <cell r="A1369" t="str">
            <v>SP-360PR гос.№ 0539АТ86</v>
          </cell>
          <cell r="B1369" t="str">
            <v>МО-29</v>
          </cell>
        </row>
        <row r="1370">
          <cell r="A1370" t="str">
            <v>Компрессор Airman PDS-390S гос.№ 0725</v>
          </cell>
          <cell r="B1370" t="str">
            <v>МО-29</v>
          </cell>
        </row>
        <row r="1371">
          <cell r="A1371" t="str">
            <v>Электростанция Airman SDG-25S гос.№ 0970</v>
          </cell>
          <cell r="B1371" t="str">
            <v>МО-29</v>
          </cell>
        </row>
        <row r="1372">
          <cell r="A1372" t="str">
            <v>Дизель-генератор AIRMAN SDG45S гос.№ 1009</v>
          </cell>
          <cell r="B1372" t="str">
            <v>МО-29</v>
          </cell>
        </row>
        <row r="1373">
          <cell r="A1373" t="str">
            <v>Кран гусеничный IHI CCH-700 гос.№ 1105УМ86</v>
          </cell>
          <cell r="B1373" t="str">
            <v>МО-29</v>
          </cell>
        </row>
        <row r="1374">
          <cell r="A1374" t="str">
            <v>Компрессор Airman PDS-175SC гос.№ 1122</v>
          </cell>
          <cell r="B1374" t="str">
            <v>МО-29</v>
          </cell>
        </row>
        <row r="1375">
          <cell r="A1375" t="str">
            <v>Дизель-генератор SDMO Montana J44 гос.№ 1326</v>
          </cell>
          <cell r="B1375" t="str">
            <v>МО-29</v>
          </cell>
        </row>
        <row r="1376">
          <cell r="A1376" t="str">
            <v>Дизель-генератор SDMO Montana J66 гос.№ 1328МО29</v>
          </cell>
          <cell r="B1376" t="str">
            <v>МО-29</v>
          </cell>
        </row>
        <row r="1377">
          <cell r="A1377" t="str">
            <v>Дизель-генератор SDMO Montana J66 гос.№ 1329</v>
          </cell>
          <cell r="B1377" t="str">
            <v>МО-29</v>
          </cell>
        </row>
        <row r="1378">
          <cell r="A1378" t="str">
            <v>Дизель-генератор SDMO Montana J130 гос.№ 1331</v>
          </cell>
          <cell r="B1378" t="str">
            <v>МО-29</v>
          </cell>
        </row>
        <row r="1379">
          <cell r="A1379" t="str">
            <v>Дизель-генератор SDMO Montana J130 гос.№ 1335</v>
          </cell>
          <cell r="B1379" t="str">
            <v>МО-29</v>
          </cell>
        </row>
        <row r="1380">
          <cell r="A1380" t="str">
            <v>Компрессор Airman PDS-390S гос.№ 1342</v>
          </cell>
          <cell r="B1380" t="str">
            <v>МО-29</v>
          </cell>
        </row>
        <row r="1381">
          <cell r="A1381" t="str">
            <v>Дизель-генератор Hokuetsu Industries SDG60S гос.№ 1418</v>
          </cell>
          <cell r="B1381" t="str">
            <v>МО-29</v>
          </cell>
        </row>
        <row r="1382">
          <cell r="A1382" t="str">
            <v>Дизель-генератор SDMO Montana J22 гос.№ 1442</v>
          </cell>
          <cell r="B1382" t="str">
            <v>МО-29</v>
          </cell>
        </row>
        <row r="1383">
          <cell r="A1383" t="str">
            <v>Дизель-генератор SDMO Montana J44 гос.№ 1444</v>
          </cell>
          <cell r="B1383" t="str">
            <v>МО-29</v>
          </cell>
        </row>
        <row r="1384">
          <cell r="A1384" t="str">
            <v>Дизель-генератор SDMO Montana V550C2 гос.№ 1445</v>
          </cell>
          <cell r="B1384" t="str">
            <v>МО-29</v>
          </cell>
        </row>
        <row r="1385">
          <cell r="A1385" t="str">
            <v>Компрессор Airman PDS-390SC гос.№ 1511</v>
          </cell>
          <cell r="B1385" t="str">
            <v>МО-29</v>
          </cell>
        </row>
        <row r="1386">
          <cell r="A1386" t="str">
            <v>Компрессор Airman PDS-390SC гос.№ 1512</v>
          </cell>
          <cell r="B1386" t="str">
            <v>МО-29</v>
          </cell>
        </row>
        <row r="1387">
          <cell r="A1387" t="str">
            <v>Экскаватор гусеничный Caterpillar 329DL гос.№ 1763ТА86</v>
          </cell>
          <cell r="B1387" t="str">
            <v>МО-29</v>
          </cell>
        </row>
        <row r="1388">
          <cell r="A1388" t="str">
            <v>Бульдозер Komatsu D65EX-16 гос.№ 1784ТА86</v>
          </cell>
          <cell r="B1388" t="str">
            <v>МО-29</v>
          </cell>
        </row>
        <row r="1389">
          <cell r="A1389" t="str">
            <v>Электростанция Airman SDG-150S гос.№ 1954</v>
          </cell>
          <cell r="B1389" t="str">
            <v>МО-29</v>
          </cell>
        </row>
        <row r="1390">
          <cell r="A1390" t="str">
            <v>Электростанция Airman SDG-150S гос.№ 1955</v>
          </cell>
          <cell r="B1390" t="str">
            <v>МО-29</v>
          </cell>
        </row>
        <row r="1391">
          <cell r="A1391" t="str">
            <v>Электростанция Airman SDG-45S гос.№ 20163</v>
          </cell>
          <cell r="B1391" t="str">
            <v>МО-29</v>
          </cell>
        </row>
        <row r="1392">
          <cell r="A1392" t="str">
            <v>Электростанция Airman SDG-45S гос.№ 20164</v>
          </cell>
          <cell r="B1392" t="str">
            <v>МО-29</v>
          </cell>
        </row>
        <row r="1393">
          <cell r="A1393" t="str">
            <v>Электростанция Airman SDG-45S гос.№ 20165</v>
          </cell>
          <cell r="B1393" t="str">
            <v>МО-29</v>
          </cell>
        </row>
        <row r="1394">
          <cell r="A1394" t="str">
            <v>Электростанция Airman SDG-45S гос.№ 20166</v>
          </cell>
          <cell r="B1394" t="str">
            <v>МО-29</v>
          </cell>
        </row>
        <row r="1395">
          <cell r="A1395" t="str">
            <v>ТСП-94171-0000010 гос.№ 2097АР86</v>
          </cell>
          <cell r="B1395" t="str">
            <v>МО-29</v>
          </cell>
        </row>
        <row r="1396">
          <cell r="A1396" t="str">
            <v>ТСП-94171-0000010 гос.№ 2097АР86</v>
          </cell>
          <cell r="B1396" t="str">
            <v>МО-29</v>
          </cell>
        </row>
        <row r="1397">
          <cell r="A1397" t="str">
            <v>ТСП-94171-0000010 гос.№ 2098АР86</v>
          </cell>
          <cell r="B1397" t="str">
            <v>МО-29</v>
          </cell>
        </row>
        <row r="1398">
          <cell r="A1398" t="str">
            <v>ТСП-94171-0000010 гос.№ 2098АР86</v>
          </cell>
          <cell r="B1398" t="str">
            <v>МО-29</v>
          </cell>
        </row>
        <row r="1399">
          <cell r="A1399" t="str">
            <v>Компрессор Airman PDS-390S гос.№ 2189</v>
          </cell>
          <cell r="B1399" t="str">
            <v>МО-29</v>
          </cell>
        </row>
        <row r="1400">
          <cell r="A1400" t="str">
            <v>Компрессор Airman PDS-390S гос.№ 2238</v>
          </cell>
          <cell r="B1400" t="str">
            <v>МО-29</v>
          </cell>
        </row>
        <row r="1401">
          <cell r="A1401" t="str">
            <v>hitachi 180 гос.№ 2241ХО86</v>
          </cell>
          <cell r="B1401" t="str">
            <v>МО-29</v>
          </cell>
        </row>
        <row r="1402">
          <cell r="A1402" t="str">
            <v>Электростанция Airman SDG-150S гос.№ 2291</v>
          </cell>
          <cell r="B1402" t="str">
            <v>МО-29</v>
          </cell>
        </row>
        <row r="1403">
          <cell r="A1403" t="str">
            <v>Компрессор Airman PDS-390S гос.№ 2381</v>
          </cell>
          <cell r="B1403" t="str">
            <v>МО-29</v>
          </cell>
        </row>
        <row r="1404">
          <cell r="A1404" t="str">
            <v>Дизель-генератор AIRMAN SDG60S гос.№ 2437</v>
          </cell>
          <cell r="B1404" t="str">
            <v>МО-29</v>
          </cell>
        </row>
        <row r="1405">
          <cell r="A1405" t="str">
            <v>Электростанция Airman SDG-45S гос.№ 2536</v>
          </cell>
          <cell r="B1405" t="str">
            <v>МО-29</v>
          </cell>
        </row>
        <row r="1406">
          <cell r="A1406" t="str">
            <v>Электростанция Airman SDG-45S гос.№ 278</v>
          </cell>
          <cell r="B1406" t="str">
            <v>МО-29</v>
          </cell>
        </row>
        <row r="1407">
          <cell r="A1407" t="str">
            <v>Электростанция АД-100С-Т400-РМ2 гос.№ 30126</v>
          </cell>
          <cell r="B1407" t="str">
            <v>МО-29</v>
          </cell>
        </row>
        <row r="1408">
          <cell r="A1408" t="str">
            <v>Погрузчик МКСМ-800 гос.№ 3334ХЕ86</v>
          </cell>
          <cell r="B1408" t="str">
            <v>МО-29</v>
          </cell>
        </row>
        <row r="1409">
          <cell r="A1409" t="str">
            <v>Автопогрузчик АП-41.015 гос.№ 3608ХО86</v>
          </cell>
          <cell r="B1409" t="str">
            <v>МО-29</v>
          </cell>
        </row>
        <row r="1410">
          <cell r="A1410" t="str">
            <v>Дизель-генератор SDMO Montana J130 гос.№ 4085</v>
          </cell>
          <cell r="B1410" t="str">
            <v>МО-29</v>
          </cell>
        </row>
        <row r="1411">
          <cell r="A1411" t="str">
            <v>Кран гусеничный Liebherr LTR-1100 гос.№ 4108ТВ86</v>
          </cell>
          <cell r="B1411" t="str">
            <v>МО-29</v>
          </cell>
        </row>
        <row r="1412">
          <cell r="A1412" t="str">
            <v>Трактор МТЗ-82 гос.№ 4129ТВ86</v>
          </cell>
          <cell r="B1412" t="str">
            <v>МО-29</v>
          </cell>
        </row>
        <row r="1413">
          <cell r="A1413" t="str">
            <v>Кран гусеничный IHI CCH-700 гос.№ 4451УЕ86</v>
          </cell>
          <cell r="B1413" t="str">
            <v>МО-29</v>
          </cell>
        </row>
        <row r="1414">
          <cell r="A1414" t="str">
            <v>Бульдозер Komatsu D-65T-12 гос.№ 4616НВ86</v>
          </cell>
          <cell r="B1414" t="str">
            <v>МО-29</v>
          </cell>
        </row>
        <row r="1415">
          <cell r="A1415" t="str">
            <v>Кран гусеничный Hitachi KH-300 гос.№ 5055УМ86</v>
          </cell>
          <cell r="B1415" t="str">
            <v>МО-29</v>
          </cell>
        </row>
        <row r="1416">
          <cell r="A1416" t="str">
            <v>Экскаватор Kato НD-1023III гос.№ 5056УМ</v>
          </cell>
          <cell r="B1416" t="str">
            <v>МО-29</v>
          </cell>
        </row>
        <row r="1417">
          <cell r="A1417" t="str">
            <v>Погрузчик Doosan DISD SD200 гос.№ 5112УР86</v>
          </cell>
          <cell r="B1417" t="str">
            <v>МО-29</v>
          </cell>
        </row>
        <row r="1418">
          <cell r="A1418" t="str">
            <v>Электростанция ДЭС-125 гос.№ 6013</v>
          </cell>
          <cell r="B1418" t="str">
            <v>МО-29</v>
          </cell>
        </row>
        <row r="1419">
          <cell r="A1419" t="str">
            <v>Электростанция Airman SDG-500S гос.№ 6042</v>
          </cell>
          <cell r="B1419" t="str">
            <v>МО-29</v>
          </cell>
        </row>
        <row r="1420">
          <cell r="A1420" t="str">
            <v>Компрессор Airman PDS-175SC гос.№ 6144</v>
          </cell>
          <cell r="B1420" t="str">
            <v>МО-29</v>
          </cell>
        </row>
        <row r="1421">
          <cell r="A1421" t="str">
            <v>Электростанция Airman SDG-45S гос.№ 6175</v>
          </cell>
          <cell r="B1421" t="str">
            <v>МО-29</v>
          </cell>
        </row>
        <row r="1422">
          <cell r="A1422" t="str">
            <v>Электростанция Airman SDG-60S гос.№ 6180</v>
          </cell>
          <cell r="B1422" t="str">
            <v>МО-29</v>
          </cell>
        </row>
        <row r="1423">
          <cell r="A1423" t="str">
            <v>Электростанция Airman SDG-150S гос.№ 62557</v>
          </cell>
          <cell r="B1423" t="str">
            <v>МО-29</v>
          </cell>
        </row>
        <row r="1424">
          <cell r="A1424" t="str">
            <v>9438-000010 гос.№ 6381АУ86</v>
          </cell>
          <cell r="B1424" t="str">
            <v>МО-29</v>
          </cell>
        </row>
        <row r="1425">
          <cell r="A1425" t="str">
            <v>Полуприцеп ТСП-94171-0000010 гос.№ 6506АС86</v>
          </cell>
          <cell r="B1425" t="str">
            <v>МО-29</v>
          </cell>
        </row>
        <row r="1426">
          <cell r="A1426" t="str">
            <v>ТСП-94171-0000010 гос.№ 6507АС86</v>
          </cell>
          <cell r="B1426" t="str">
            <v>МО-29</v>
          </cell>
        </row>
        <row r="1427">
          <cell r="A1427" t="str">
            <v>ТСП-94171-0000010 гос.№ 6507АС86</v>
          </cell>
          <cell r="B1427" t="str">
            <v>МО-29</v>
          </cell>
        </row>
        <row r="1428">
          <cell r="A1428" t="str">
            <v>Кран гусеничный Hitachi KH-300 гос.№ 8306ХМ86</v>
          </cell>
          <cell r="B1428" t="str">
            <v>МО-29</v>
          </cell>
        </row>
        <row r="1429">
          <cell r="A1429" t="str">
            <v>Кран гусеничный Hitachi KH-500 гос.№ 8326ХР86</v>
          </cell>
          <cell r="B1429" t="str">
            <v>МО-29</v>
          </cell>
        </row>
        <row r="1430">
          <cell r="A1430" t="str">
            <v>Кран гусеничный IHI CCH-700 гос.№ 9805ТВ86</v>
          </cell>
          <cell r="B1430" t="str">
            <v>МО-29</v>
          </cell>
        </row>
        <row r="1431">
          <cell r="A1431" t="str">
            <v>Погрузчик Hyundai HL740-7 гос.№ 9822ТВ86</v>
          </cell>
          <cell r="B1431" t="str">
            <v>МО-29</v>
          </cell>
        </row>
        <row r="1432">
          <cell r="A1432" t="str">
            <v>Вибропогружатель РТС65HD гос.№ A00000974</v>
          </cell>
          <cell r="B1432" t="str">
            <v>МО-36</v>
          </cell>
        </row>
        <row r="1433">
          <cell r="A1433" t="str">
            <v>Вибропогружатель PTС 120HD 28541 гос.№ A00002521</v>
          </cell>
          <cell r="B1433" t="str">
            <v>МО-36</v>
          </cell>
        </row>
        <row r="1434">
          <cell r="A1434" t="str">
            <v>Вибропогружатель РТС65HD LS гос.№ A00002662</v>
          </cell>
          <cell r="B1434" t="str">
            <v>МО-36</v>
          </cell>
        </row>
        <row r="1435">
          <cell r="A1435" t="str">
            <v>Вибропогружатель PTС 65HDSL №5 28504 гос.№ A00002670</v>
          </cell>
          <cell r="B1435" t="str">
            <v>МО-36</v>
          </cell>
        </row>
        <row r="1436">
          <cell r="A1436" t="str">
            <v>Вибропогружатель РТС65HD LS гос.№ A00002979</v>
          </cell>
          <cell r="B1436" t="str">
            <v>МО-36</v>
          </cell>
        </row>
        <row r="1437">
          <cell r="A1437" t="str">
            <v>Toyota Camry гос.№ C015МХ72</v>
          </cell>
          <cell r="B1437" t="str">
            <v>МО-36</v>
          </cell>
        </row>
        <row r="1438">
          <cell r="A1438" t="str">
            <v>Вибропогружатель PTС 30H2L №2 28340 гос.№ D00003801</v>
          </cell>
          <cell r="B1438" t="str">
            <v>МО-36</v>
          </cell>
        </row>
        <row r="1439">
          <cell r="A1439" t="str">
            <v>Вибропогружатель РТС65HD L гос.№ D00004304</v>
          </cell>
          <cell r="B1439" t="str">
            <v>МО-36</v>
          </cell>
        </row>
        <row r="1440">
          <cell r="A1440" t="str">
            <v>Мачта осветительная QLT M10 гос.№ D00004879</v>
          </cell>
          <cell r="B1440" t="str">
            <v>МО-36</v>
          </cell>
        </row>
        <row r="1441">
          <cell r="A1441" t="str">
            <v>Мачта осветительная QLT M10 гос.№ D00004886</v>
          </cell>
          <cell r="B1441" t="str">
            <v>МО-36</v>
          </cell>
        </row>
        <row r="1442">
          <cell r="A1442" t="str">
            <v>Бортовой Ford Transit Double Cab гос.№ O410ТН72</v>
          </cell>
          <cell r="B1442" t="str">
            <v>МО-36</v>
          </cell>
        </row>
        <row r="1443">
          <cell r="A1443" t="str">
            <v>Автобус FORD TRANSIT гос.№ АН94672</v>
          </cell>
          <cell r="B1443" t="str">
            <v>МО-36</v>
          </cell>
        </row>
        <row r="1444">
          <cell r="A1444" t="str">
            <v>ма 3975810040 гос.№ АО256886</v>
          </cell>
          <cell r="B1444" t="str">
            <v>МО-36</v>
          </cell>
        </row>
        <row r="1445">
          <cell r="A1445" t="str">
            <v>НефАЗ-5299-0000011-42 гос.№ АО41072</v>
          </cell>
          <cell r="B1445" t="str">
            <v>МО-36</v>
          </cell>
        </row>
        <row r="1446">
          <cell r="A1446" t="str">
            <v>НефАЗ-5299-0000011-42 гос.№ АО41272</v>
          </cell>
          <cell r="B1446" t="str">
            <v>МО-36</v>
          </cell>
        </row>
        <row r="1447">
          <cell r="A1447" t="str">
            <v>НефАЗ-5299-0000011-42 гос.№ АО41372</v>
          </cell>
          <cell r="B1447" t="str">
            <v>МО-36</v>
          </cell>
        </row>
        <row r="1448">
          <cell r="A1448" t="str">
            <v>HARTUNG 943000 гос.№ АР287555</v>
          </cell>
          <cell r="B1448" t="str">
            <v>МО-36</v>
          </cell>
        </row>
        <row r="1449">
          <cell r="A1449" t="str">
            <v>994271 гос.№ АС612286</v>
          </cell>
          <cell r="B1449" t="str">
            <v>МО-36</v>
          </cell>
        </row>
        <row r="1450">
          <cell r="A1450" t="str">
            <v>994271 гос.№ АТ630672</v>
          </cell>
          <cell r="B1450" t="str">
            <v>МО-36</v>
          </cell>
        </row>
        <row r="1451">
          <cell r="A1451" t="str">
            <v>994271 гос.№ АТ630772</v>
          </cell>
          <cell r="B1451" t="str">
            <v>МО-36</v>
          </cell>
        </row>
        <row r="1452">
          <cell r="A1452" t="str">
            <v>Полуприцеп наемный гос.№ АУ6928</v>
          </cell>
          <cell r="B1452" t="str">
            <v>МО-36</v>
          </cell>
        </row>
        <row r="1453">
          <cell r="A1453" t="str">
            <v>Hartung 9438-0000010 гос.№ АХ297472</v>
          </cell>
          <cell r="B1453" t="str">
            <v>МО-36</v>
          </cell>
        </row>
        <row r="1454">
          <cell r="A1454" t="str">
            <v>Полуприцеп НефАЗ 93341 гос.№ АХ953172</v>
          </cell>
          <cell r="B1454" t="str">
            <v>МО-36</v>
          </cell>
        </row>
        <row r="1455">
          <cell r="A1455" t="str">
            <v>Вибропогружатель РТС65HD гос.№ А00002520</v>
          </cell>
          <cell r="B1455" t="str">
            <v>МО-36</v>
          </cell>
        </row>
        <row r="1456">
          <cell r="A1456" t="str">
            <v>С/тягач Volvo FM Truck 6х4 (продан) гос.№ А009МХ89</v>
          </cell>
          <cell r="B1456" t="str">
            <v>МО-36</v>
          </cell>
        </row>
        <row r="1457">
          <cell r="A1457" t="str">
            <v>Автокран Liebherr LTM-1040-2.1 гос.№ А137ХЕ89</v>
          </cell>
          <cell r="B1457" t="str">
            <v>МО-36</v>
          </cell>
        </row>
        <row r="1458">
          <cell r="A1458" t="str">
            <v>С/тягач Scania P420-CA 6х4 HSZ гос.№ А324УК89</v>
          </cell>
          <cell r="B1458" t="str">
            <v>МО-36</v>
          </cell>
        </row>
        <row r="1459">
          <cell r="A1459" t="str">
            <v>Toyota Fortuner гос.№ А394СС186</v>
          </cell>
          <cell r="B1459" t="str">
            <v>МО-36</v>
          </cell>
        </row>
        <row r="1460">
          <cell r="A1460" t="str">
            <v>А/бетоносмес. Volvo FM Truck 8x4 гос.№ А448ХК72</v>
          </cell>
          <cell r="B1460" t="str">
            <v>МО-36</v>
          </cell>
        </row>
        <row r="1461">
          <cell r="A1461" t="str">
            <v>Ассениз. машина КО-550А на ш.Камаз гос.№ А904МН72</v>
          </cell>
          <cell r="B1461" t="str">
            <v>МО-36</v>
          </cell>
        </row>
        <row r="1462">
          <cell r="A1462" t="str">
            <v>С/тягач Камаз 54105 седельный тягач гос.№ А968СА72</v>
          </cell>
          <cell r="B1462" t="str">
            <v>МО-36</v>
          </cell>
        </row>
        <row r="1463">
          <cell r="A1463" t="str">
            <v>Бортовой КамАЗ 43118 гос.№ А984УМ89</v>
          </cell>
          <cell r="B1463" t="str">
            <v>МО-36</v>
          </cell>
        </row>
        <row r="1464">
          <cell r="A1464" t="str">
            <v>АТЗ НефАЗ-66062-10 гос.№ А985УМ89</v>
          </cell>
          <cell r="B1464" t="str">
            <v>МО-36</v>
          </cell>
        </row>
        <row r="1465">
          <cell r="A1465" t="str">
            <v>Полуприцеп ТСМ 99393 гос.№ ВА546872</v>
          </cell>
          <cell r="B1465" t="str">
            <v>МО-36</v>
          </cell>
        </row>
        <row r="1466">
          <cell r="A1466" t="str">
            <v>Полуприцеп ТСМ 99393 гос.№ ВА546972</v>
          </cell>
          <cell r="B1466" t="str">
            <v>МО-36</v>
          </cell>
        </row>
        <row r="1467">
          <cell r="A1467" t="str">
            <v>Полуприцеп ТСМ 99393 гос.№ ВА549172</v>
          </cell>
          <cell r="B1467" t="str">
            <v>МО-36</v>
          </cell>
        </row>
        <row r="1468">
          <cell r="A1468" t="str">
            <v>Полуприцеп ТСМ 99393 гос.№ ВА549272</v>
          </cell>
          <cell r="B1468" t="str">
            <v>МО-36</v>
          </cell>
        </row>
        <row r="1469">
          <cell r="A1469" t="str">
            <v>Полуприцеп Faymonville гос.№ ВА551872</v>
          </cell>
          <cell r="B1469" t="str">
            <v>МО-36</v>
          </cell>
        </row>
        <row r="1470">
          <cell r="A1470" t="str">
            <v>Полуприцеп ТСМ 99393 гос.№ ВА713072</v>
          </cell>
          <cell r="B1470" t="str">
            <v>МО-36</v>
          </cell>
        </row>
        <row r="1471">
          <cell r="A1471" t="str">
            <v>Полуприцеп ТСМ 99393 гос.№ ВА713172</v>
          </cell>
          <cell r="B1471" t="str">
            <v>МО-36</v>
          </cell>
        </row>
        <row r="1472">
          <cell r="A1472" t="str">
            <v>Полуприцеп ТСМ 99393 гос.№ ВА713272</v>
          </cell>
          <cell r="B1472" t="str">
            <v>МО-36</v>
          </cell>
        </row>
        <row r="1473">
          <cell r="A1473" t="str">
            <v>Полуприцеп ТСМ 99393 гос.№ ВА713372</v>
          </cell>
          <cell r="B1473" t="str">
            <v>МО-36</v>
          </cell>
        </row>
        <row r="1474">
          <cell r="A1474" t="str">
            <v>НЕФАЗ 93341 гос.№ ВВ075972</v>
          </cell>
          <cell r="B1474" t="str">
            <v>МО-36</v>
          </cell>
        </row>
        <row r="1475">
          <cell r="A1475" t="str">
            <v>Фургон ГАЗ 2217 гос.№ В111ХТ86</v>
          </cell>
          <cell r="B1475" t="str">
            <v>МО-36</v>
          </cell>
        </row>
        <row r="1476">
          <cell r="A1476" t="str">
            <v>Самосвал Scania P380-CB 6х4 (Продан ) гос.№ В122ОН72</v>
          </cell>
          <cell r="B1476" t="str">
            <v>МО-36</v>
          </cell>
        </row>
        <row r="1477">
          <cell r="A1477" t="str">
            <v>Автобус КАвЗ 4238-02 гос.№ В235УС72</v>
          </cell>
          <cell r="B1477" t="str">
            <v>МО-36</v>
          </cell>
        </row>
        <row r="1478">
          <cell r="A1478" t="str">
            <v>А/бетоносмес. Volvo FM Truck 8x4 гос.№ В248ХЕ72</v>
          </cell>
          <cell r="B1478" t="str">
            <v>МО-36</v>
          </cell>
        </row>
        <row r="1479">
          <cell r="A1479" t="str">
            <v>А/бетоносмес. КамАЗ 581411 гос.№ В335ХС86</v>
          </cell>
          <cell r="B1479" t="str">
            <v>МО-36</v>
          </cell>
        </row>
        <row r="1480">
          <cell r="A1480" t="str">
            <v>Автокран КС-5579-3 на шасси Урал 4320 гос.№ В519УС86</v>
          </cell>
          <cell r="B1480" t="str">
            <v>МО-36</v>
          </cell>
        </row>
        <row r="1481">
          <cell r="A1481" t="str">
            <v>С/тягач Краз 643721 гос.№ В623ОМ72</v>
          </cell>
          <cell r="B1481" t="str">
            <v>МО-36</v>
          </cell>
        </row>
        <row r="1482">
          <cell r="A1482" t="str">
            <v>Toyota Land Cruiser 200 (АИ-95) в766ск123 гос.№ В766СК123</v>
          </cell>
          <cell r="B1482" t="str">
            <v>МО-36</v>
          </cell>
        </row>
        <row r="1483">
          <cell r="A1483" t="str">
            <v>Самосвал Volvo FM Truck 6х6 гос.№ В914ОА72</v>
          </cell>
          <cell r="B1483" t="str">
            <v>МО-36</v>
          </cell>
        </row>
        <row r="1484">
          <cell r="A1484" t="str">
            <v>Toyota Highlander гос.№ В999ЕС86</v>
          </cell>
          <cell r="B1484" t="str">
            <v>МО-36</v>
          </cell>
        </row>
        <row r="1485">
          <cell r="A1485" t="str">
            <v>Бортовой ГАЗ 330232 2.5 гос.№ Е005ХК86</v>
          </cell>
          <cell r="B1485" t="str">
            <v>МО-36</v>
          </cell>
        </row>
        <row r="1486">
          <cell r="A1486" t="str">
            <v>Toyota Camry гос.№ Е360ТО72</v>
          </cell>
          <cell r="B1486" t="str">
            <v>МО-36</v>
          </cell>
        </row>
        <row r="1487">
          <cell r="A1487" t="str">
            <v>А/бетоносмес. Volvo FM Truck 8x4 гос.№ Е418ЕУ72</v>
          </cell>
          <cell r="B1487" t="str">
            <v>МО-36</v>
          </cell>
        </row>
        <row r="1488">
          <cell r="A1488" t="str">
            <v>Бортовой ГАЗ 330232 2.5 гос.№ Е507СВ72</v>
          </cell>
          <cell r="B1488" t="str">
            <v>МО-36</v>
          </cell>
        </row>
        <row r="1489">
          <cell r="A1489" t="str">
            <v>Автобус НефАЗ 4208-11-13 гос.№ Е679ХО72</v>
          </cell>
          <cell r="B1489" t="str">
            <v>МО-36</v>
          </cell>
        </row>
        <row r="1490">
          <cell r="A1490" t="str">
            <v>Фургон Ford Transit гос.№ Е887РЕ196</v>
          </cell>
          <cell r="B1490" t="str">
            <v>МО-36</v>
          </cell>
        </row>
        <row r="1491">
          <cell r="A1491" t="str">
            <v>Nissan Navara 2.5D к017кс72 гос.№ К017КС72</v>
          </cell>
          <cell r="B1491" t="str">
            <v>МО-36</v>
          </cell>
        </row>
        <row r="1492">
          <cell r="A1492" t="str">
            <v>Самосвал Volvo FM Truck 6х4 гос.№ К029СС72</v>
          </cell>
          <cell r="B1492" t="str">
            <v>МО-36</v>
          </cell>
        </row>
        <row r="1493">
          <cell r="A1493" t="str">
            <v>Самосвал Volvo FM Truck 6х4 гос.№ К032СС72</v>
          </cell>
          <cell r="B1493" t="str">
            <v>МО-36</v>
          </cell>
        </row>
        <row r="1494">
          <cell r="A1494" t="str">
            <v>Toyota Fortuner гос.№ К086ВТ138</v>
          </cell>
          <cell r="B1494" t="str">
            <v>МО-36</v>
          </cell>
        </row>
        <row r="1495">
          <cell r="A1495" t="str">
            <v>Автобус ПАЗ 320530-22 гос.№ К150ОК186</v>
          </cell>
          <cell r="B1495" t="str">
            <v>МО-36</v>
          </cell>
        </row>
        <row r="1496">
          <cell r="A1496" t="str">
            <v>Автокран Liebherr LTM-1160-5.1 гос.№ К170УТ72</v>
          </cell>
          <cell r="B1496" t="str">
            <v>МО-36</v>
          </cell>
        </row>
        <row r="1497">
          <cell r="A1497" t="str">
            <v>Toyota Hilux гос.№ К334ВТ138</v>
          </cell>
          <cell r="B1497" t="str">
            <v>МО-36</v>
          </cell>
        </row>
        <row r="1498">
          <cell r="A1498" t="str">
            <v>А/бетоносмес. 581462 на ш.Камаз гос.№ К385ТЕ72</v>
          </cell>
          <cell r="B1498" t="str">
            <v>МО-36</v>
          </cell>
        </row>
        <row r="1499">
          <cell r="A1499" t="str">
            <v>С/тягач Volvo FM Truck 6х4 гос.№ К395ТЕ72</v>
          </cell>
          <cell r="B1499" t="str">
            <v>МО-36</v>
          </cell>
        </row>
        <row r="1500">
          <cell r="A1500" t="str">
            <v>С/тягач Volvo FM Truck 6х4 гос.№ К397ТЕ72</v>
          </cell>
          <cell r="B1500" t="str">
            <v>МО-36</v>
          </cell>
        </row>
        <row r="1501">
          <cell r="A1501" t="str">
            <v>Автокран КС-5579-3 на ш. Урал 4320 25т гос.№ К398ЕР72</v>
          </cell>
          <cell r="B1501" t="str">
            <v>МО-36</v>
          </cell>
        </row>
        <row r="1502">
          <cell r="A1502" t="str">
            <v>С/тягач Volvo FM Truck 6х4 гос.№ К399ТЕ72</v>
          </cell>
          <cell r="B1502" t="str">
            <v>МО-36</v>
          </cell>
        </row>
        <row r="1503">
          <cell r="A1503" t="str">
            <v>Самосвал Камаз 55111 гос.№ К533УА72</v>
          </cell>
          <cell r="B1503" t="str">
            <v>МО-36</v>
          </cell>
        </row>
        <row r="1504">
          <cell r="A1504" t="str">
            <v>Фургон Ford Transit гос.№ К598РВ196</v>
          </cell>
          <cell r="B1504" t="str">
            <v>МО-36</v>
          </cell>
        </row>
        <row r="1505">
          <cell r="A1505" t="str">
            <v>Автокран Liebherr LTM-1040-2.1 гос.№ К604АН186</v>
          </cell>
          <cell r="B1505" t="str">
            <v>МО-36</v>
          </cell>
        </row>
        <row r="1506">
          <cell r="A1506" t="str">
            <v>Самосвал Scania P380-CB 6х4 гос.№ К666УС86</v>
          </cell>
          <cell r="B1506" t="str">
            <v>МО-36</v>
          </cell>
        </row>
        <row r="1507">
          <cell r="A1507" t="str">
            <v>А/бетоносмес. Volvo FM Truck 8x4 гос.№ К685НХ72</v>
          </cell>
          <cell r="B1507" t="str">
            <v>МО-36</v>
          </cell>
        </row>
        <row r="1508">
          <cell r="A1508" t="str">
            <v>А/бетоносмес. Volvo FM Truck 8x4 гос.№ К687НХ72</v>
          </cell>
          <cell r="B1508" t="str">
            <v>МО-36</v>
          </cell>
        </row>
        <row r="1509">
          <cell r="A1509" t="str">
            <v>Hyundai Tucson 2.0 GLS 4WD гос.№ К736ХК72</v>
          </cell>
          <cell r="B1509" t="str">
            <v>МО-36</v>
          </cell>
        </row>
        <row r="1510">
          <cell r="A1510" t="str">
            <v>Автокран Liebherr LTM-1040-2.1 гос.№ К793АА186</v>
          </cell>
          <cell r="B1510" t="str">
            <v>МО-36</v>
          </cell>
        </row>
        <row r="1511">
          <cell r="A1511" t="str">
            <v>Автокран Tadano Faun ATF-65G-4 гос.№ К957УЕ72</v>
          </cell>
          <cell r="B1511" t="str">
            <v>МО-36</v>
          </cell>
        </row>
        <row r="1512">
          <cell r="A1512" t="str">
            <v>А/бетоносмес. 58147С на ш.Камаз гос.№ К966МЕ72</v>
          </cell>
          <cell r="B1512" t="str">
            <v>МО-36</v>
          </cell>
        </row>
        <row r="1513">
          <cell r="A1513" t="str">
            <v>KIA UM (Sorento) гос.№ М001НЕ72</v>
          </cell>
          <cell r="B1513" t="str">
            <v>МО-36</v>
          </cell>
        </row>
        <row r="1514">
          <cell r="A1514" t="str">
            <v>С/тягач КамАЗ 44108-24 гос.№ М014КУ72</v>
          </cell>
          <cell r="B1514" t="str">
            <v>МО-36</v>
          </cell>
        </row>
        <row r="1515">
          <cell r="A1515" t="str">
            <v>Toyota Camry 2.4 (4L-2,362-152-4A) гос.№ М092МН</v>
          </cell>
          <cell r="B1515" t="str">
            <v>МО-36</v>
          </cell>
        </row>
        <row r="1516">
          <cell r="A1516" t="str">
            <v>Самосвал Volvo FM Truck 6х4 гос.№ М094НН72</v>
          </cell>
          <cell r="B1516" t="str">
            <v>МО-36</v>
          </cell>
        </row>
        <row r="1517">
          <cell r="A1517" t="str">
            <v>Самосвал Volvo FM Truck 6х4 гос.№ М095НН72</v>
          </cell>
          <cell r="B1517" t="str">
            <v>МО-36</v>
          </cell>
        </row>
        <row r="1518">
          <cell r="A1518" t="str">
            <v>С/тягач Volvo FM Truck 6х4 (продан) гос.№ М117УН72</v>
          </cell>
          <cell r="B1518" t="str">
            <v>МО-36</v>
          </cell>
        </row>
        <row r="1519">
          <cell r="A1519" t="str">
            <v>С/тягач Volvo FM Truck 6х4 гос.№ М118УН72</v>
          </cell>
          <cell r="B1519" t="str">
            <v>МО-36</v>
          </cell>
        </row>
        <row r="1520">
          <cell r="A1520" t="str">
            <v>С/тягач Volvo FM Truck 6х4 (продан) гос.№ М119УН72</v>
          </cell>
          <cell r="B1520" t="str">
            <v>МО-36</v>
          </cell>
        </row>
        <row r="1521">
          <cell r="A1521" t="str">
            <v>Автобус КАвЗ 4238-02 гос.№ М236МР72</v>
          </cell>
          <cell r="B1521" t="str">
            <v>МО-36</v>
          </cell>
        </row>
        <row r="1522">
          <cell r="A1522" t="str">
            <v>Манипулятор Бортовой Чайка-Сервис с КМУ гос.№ М283НТ72</v>
          </cell>
          <cell r="B1522" t="str">
            <v>МО-36</v>
          </cell>
        </row>
        <row r="1523">
          <cell r="A1523" t="str">
            <v>Toyota Camry 2.4 гос.№ М298ОА72</v>
          </cell>
          <cell r="B1523" t="str">
            <v>МО-36</v>
          </cell>
        </row>
        <row r="1524">
          <cell r="A1524" t="str">
            <v>Mitsubishi Outlander 2.4 гос.№ М498КТ72</v>
          </cell>
          <cell r="B1524" t="str">
            <v>МО-36</v>
          </cell>
        </row>
        <row r="1525">
          <cell r="A1525" t="str">
            <v>Автокран Tadano Faun ATF-90G-4 гос.№ М532КР72</v>
          </cell>
          <cell r="B1525" t="str">
            <v>МО-36</v>
          </cell>
        </row>
        <row r="1526">
          <cell r="A1526" t="str">
            <v>Бортовой ГАЗ 33025 2.9 гос.№ М549ОР72</v>
          </cell>
          <cell r="B1526" t="str">
            <v>МО-36</v>
          </cell>
        </row>
        <row r="1527">
          <cell r="A1527" t="str">
            <v>Автобус вахтовый 422612 гос.№ М590ХС174</v>
          </cell>
          <cell r="B1527" t="str">
            <v>МО-36</v>
          </cell>
        </row>
        <row r="1528">
          <cell r="A1528" t="str">
            <v>Автомобильный кран Камаз гос.№ М659НУ55</v>
          </cell>
          <cell r="B1528" t="str">
            <v>МО-36</v>
          </cell>
        </row>
        <row r="1529">
          <cell r="A1529" t="str">
            <v>Самосвал Volvo FM Truck 6х4 гос.№ М912СУ86</v>
          </cell>
          <cell r="B1529" t="str">
            <v>МО-36</v>
          </cell>
        </row>
        <row r="1530">
          <cell r="A1530" t="str">
            <v>Автобус ГАЗ 322132 гос.№ М936СР72</v>
          </cell>
          <cell r="B1530" t="str">
            <v>МО-36</v>
          </cell>
        </row>
        <row r="1531">
          <cell r="A1531" t="str">
            <v>Toyota Land Cruiser 150 гос.№ Н011ТР72</v>
          </cell>
          <cell r="B1531" t="str">
            <v>МО-36</v>
          </cell>
        </row>
        <row r="1532">
          <cell r="A1532" t="str">
            <v>Toyota Camry 2.4 гос.№ Н011УА72</v>
          </cell>
          <cell r="B1532" t="str">
            <v>МО-36</v>
          </cell>
        </row>
        <row r="1533">
          <cell r="A1533" t="str">
            <v>Toyota Land Cruiser 200 гос.№ Н036НТ72</v>
          </cell>
          <cell r="B1533" t="str">
            <v>МО-36</v>
          </cell>
        </row>
        <row r="1534">
          <cell r="A1534" t="str">
            <v>Автобус КамАЗ 4208 гос.№ Н042АЕ186</v>
          </cell>
          <cell r="B1534" t="str">
            <v>МО-36</v>
          </cell>
        </row>
        <row r="1535">
          <cell r="A1535" t="str">
            <v>Автомастерская ПММ на шасси ЗИЛ-131 гос.№ Н128РО72</v>
          </cell>
          <cell r="B1535" t="str">
            <v>МО-36</v>
          </cell>
        </row>
        <row r="1536">
          <cell r="A1536" t="str">
            <v>Toyota Land Cruiser 150 (Prado) ДТ гос.№ Н191МР72</v>
          </cell>
          <cell r="B1536" t="str">
            <v>МО-36</v>
          </cell>
        </row>
        <row r="1537">
          <cell r="A1537" t="str">
            <v>А/бетоносмес. Volvo FM Truck 8x4 гос.№ Н225ЕМ72</v>
          </cell>
          <cell r="B1537" t="str">
            <v>МО-36</v>
          </cell>
        </row>
        <row r="1538">
          <cell r="A1538" t="str">
            <v>Автовышка ПСС-121.28 на ш. КамАЗ 65115 гос.№ Н336УУ72</v>
          </cell>
          <cell r="B1538" t="str">
            <v>МО-36</v>
          </cell>
        </row>
        <row r="1539">
          <cell r="A1539" t="str">
            <v>Грузовой с бортовой платформой ГАЗ-3309 гос.№ Н341ЕХ72</v>
          </cell>
          <cell r="B1539" t="str">
            <v>МО-36</v>
          </cell>
        </row>
        <row r="1540">
          <cell r="A1540" t="str">
            <v>Автобус Iveko Irisbus SFR160 Crossway гос.№ Н429ХВ86</v>
          </cell>
          <cell r="B1540" t="str">
            <v>МО-36</v>
          </cell>
        </row>
        <row r="1541">
          <cell r="A1541" t="str">
            <v>Самосвал Tatra Т815-2А 2AOS01 6х6.2 гос.№ Н437СУ86</v>
          </cell>
          <cell r="B1541" t="str">
            <v>МО-36</v>
          </cell>
        </row>
        <row r="1542">
          <cell r="A1542" t="str">
            <v>Chevrolet Niva гос.№ Н479ТК72</v>
          </cell>
          <cell r="B1542" t="str">
            <v>МО-36</v>
          </cell>
        </row>
        <row r="1543">
          <cell r="A1543" t="str">
            <v>Chevrolet Niva гос.№ Н486ТК72</v>
          </cell>
          <cell r="B1543" t="str">
            <v>МО-36</v>
          </cell>
        </row>
        <row r="1544">
          <cell r="A1544" t="str">
            <v>Chevrolet Niva гос.№ Н487ТК72</v>
          </cell>
          <cell r="B1544" t="str">
            <v>МО-36</v>
          </cell>
        </row>
        <row r="1545">
          <cell r="A1545" t="str">
            <v>Toyota Highlander гос.№ Н627РУ72</v>
          </cell>
          <cell r="B1545" t="str">
            <v>МО-36</v>
          </cell>
        </row>
        <row r="1546">
          <cell r="A1546" t="str">
            <v>Toyota RAV4 гос.№ Н653УА72</v>
          </cell>
          <cell r="B1546" t="str">
            <v>МО-36</v>
          </cell>
        </row>
        <row r="1547">
          <cell r="A1547" t="str">
            <v>Автобус ПАЗ 32053-60 гос.№ Н802КУ72</v>
          </cell>
          <cell r="B1547" t="str">
            <v>МО-36</v>
          </cell>
        </row>
        <row r="1548">
          <cell r="A1548" t="str">
            <v>А/бетоносмес. Volvo FM Truck 8x4 гос.№ Н821ЕР72</v>
          </cell>
          <cell r="B1548" t="str">
            <v>МО-36</v>
          </cell>
        </row>
        <row r="1549">
          <cell r="A1549" t="str">
            <v>А/бетоносмес. Volvo FM Truck 8x4 гос.№ Н822ЕР72</v>
          </cell>
          <cell r="B1549" t="str">
            <v>МО-36</v>
          </cell>
        </row>
        <row r="1550">
          <cell r="A1550" t="str">
            <v>А/бетоносмес. Volvo FM Truck 8x4 гос.№ Н823ЕР72</v>
          </cell>
          <cell r="B1550" t="str">
            <v>МО-36</v>
          </cell>
        </row>
        <row r="1551">
          <cell r="A1551" t="str">
            <v>АТЗ НефАЗ-66062-10 на шасси КамАЗ 43118 гос.№ Н879ХВ86</v>
          </cell>
          <cell r="B1551" t="str">
            <v>МО-36</v>
          </cell>
        </row>
        <row r="1552">
          <cell r="A1552" t="str">
            <v>Бортовой Ford Transit 3227AR гос.№ Н885УУ72</v>
          </cell>
          <cell r="B1552" t="str">
            <v>МО-36</v>
          </cell>
        </row>
        <row r="1553">
          <cell r="A1553" t="str">
            <v>Toyota Land Cruiser 150 гос.№ Н899УУ72</v>
          </cell>
          <cell r="B1553" t="str">
            <v>МО-36</v>
          </cell>
        </row>
        <row r="1554">
          <cell r="A1554" t="str">
            <v>Бортовой ГАЗ 33025 2.9 гос.№ Н945МТ72</v>
          </cell>
          <cell r="B1554" t="str">
            <v>МО-36</v>
          </cell>
        </row>
        <row r="1555">
          <cell r="A1555" t="str">
            <v>Volkswagen Golf гос.№ Н978УК72</v>
          </cell>
          <cell r="B1555" t="str">
            <v>МО-36</v>
          </cell>
        </row>
        <row r="1556">
          <cell r="A1556" t="str">
            <v>TOYOTA CAMRY 3.5 гос.№ О011ЕС72</v>
          </cell>
          <cell r="B1556" t="str">
            <v>МО-36</v>
          </cell>
        </row>
        <row r="1557">
          <cell r="A1557" t="str">
            <v>Subaru Forester гос.№ О050ТР72</v>
          </cell>
          <cell r="B1557" t="str">
            <v>МО-36</v>
          </cell>
        </row>
        <row r="1558">
          <cell r="A1558" t="str">
            <v>TOYOTA RAV4 гос.№ О051ТР72</v>
          </cell>
          <cell r="B1558" t="str">
            <v>МО-36</v>
          </cell>
        </row>
        <row r="1559">
          <cell r="A1559" t="str">
            <v>Volkswagen Jetta гос.№ О055ТР72</v>
          </cell>
          <cell r="B1559" t="str">
            <v>МО-36</v>
          </cell>
        </row>
        <row r="1560">
          <cell r="A1560" t="str">
            <v>А/бетоносмес. на шасси КамАЗ-43118 гос.№ О138СЕ89</v>
          </cell>
          <cell r="B1560" t="str">
            <v>МО-36</v>
          </cell>
        </row>
        <row r="1561">
          <cell r="A1561" t="str">
            <v>С/тягач Volvo FM Truck 6х4 12.8 гос.№ О139СЕ89</v>
          </cell>
          <cell r="B1561" t="str">
            <v>МО-36</v>
          </cell>
        </row>
        <row r="1562">
          <cell r="A1562" t="str">
            <v>Автобус КАвЗ 4238-01 гос.№ О140ЕК72</v>
          </cell>
          <cell r="B1562" t="str">
            <v>МО-36</v>
          </cell>
        </row>
        <row r="1563">
          <cell r="A1563" t="str">
            <v>Самосвал Volvo FM Truck 6х6 гос.№ О140СЕ89</v>
          </cell>
          <cell r="B1563" t="str">
            <v>МО-36</v>
          </cell>
        </row>
        <row r="1564">
          <cell r="A1564" t="str">
            <v>Самосвал Volvo FM Truck 6х6 гос.№ О142СЕ89</v>
          </cell>
          <cell r="B1564" t="str">
            <v>МО-36</v>
          </cell>
        </row>
        <row r="1565">
          <cell r="A1565" t="str">
            <v>С/тягач Volvo FM Truck 6х4 12.8 гос.№ О143ЕК72</v>
          </cell>
          <cell r="B1565" t="str">
            <v>МО-36</v>
          </cell>
        </row>
        <row r="1566">
          <cell r="A1566" t="str">
            <v>С/тягач Volvo FM Truck 6х4 12.8 гос.№ О144ЕК72</v>
          </cell>
          <cell r="B1566" t="str">
            <v>МО-36</v>
          </cell>
        </row>
        <row r="1567">
          <cell r="A1567" t="str">
            <v>Самосвал Scania P380-CB 6х4 гос.№ О158ЕР72</v>
          </cell>
          <cell r="B1567" t="str">
            <v>МО-36</v>
          </cell>
        </row>
        <row r="1568">
          <cell r="A1568" t="str">
            <v>С/тягач Volvo FM Truck 6х4 гос.№ О195РВ72</v>
          </cell>
          <cell r="B1568" t="str">
            <v>МО-36</v>
          </cell>
        </row>
        <row r="1569">
          <cell r="A1569" t="str">
            <v>Автокран Liebherr LTM-1040-2.1 гос.№ О217ОС72</v>
          </cell>
          <cell r="B1569" t="str">
            <v>МО-36</v>
          </cell>
        </row>
        <row r="1570">
          <cell r="A1570" t="str">
            <v>Toyota Land Cruiser 150 (Prado) гос.№ О277ЕР40</v>
          </cell>
          <cell r="B1570" t="str">
            <v>МО-36</v>
          </cell>
        </row>
        <row r="1571">
          <cell r="A1571" t="str">
            <v>Самосвал Scania P380-CB 6х4 EHZ гос.№ О289КТ72</v>
          </cell>
          <cell r="B1571" t="str">
            <v>МО-36</v>
          </cell>
        </row>
        <row r="1572">
          <cell r="A1572" t="str">
            <v>Самосвал Scania P380-CB 6х4 EHZ гос.№ О290КТ72</v>
          </cell>
          <cell r="B1572" t="str">
            <v>МО-36</v>
          </cell>
        </row>
        <row r="1573">
          <cell r="A1573" t="str">
            <v>ПАЗ 32053-60 гос.№ О314КХ72</v>
          </cell>
          <cell r="B1573" t="str">
            <v>МО-36</v>
          </cell>
        </row>
        <row r="1574">
          <cell r="A1574" t="str">
            <v>УАЗ Патриот 2.3 гос.№ О361РМ72</v>
          </cell>
          <cell r="B1574" t="str">
            <v>МО-36</v>
          </cell>
        </row>
        <row r="1575">
          <cell r="A1575" t="str">
            <v>Автокран Liebherr LTM-1040-2.1 гос.№ О429НХ72</v>
          </cell>
          <cell r="B1575" t="str">
            <v>МО-36</v>
          </cell>
        </row>
        <row r="1576">
          <cell r="A1576" t="str">
            <v>Автокран Liebherr LTM-1040-2.1 гос.№ О430НХ72</v>
          </cell>
          <cell r="B1576" t="str">
            <v>МО-36</v>
          </cell>
        </row>
        <row r="1577">
          <cell r="A1577" t="str">
            <v>С/тягач Volvo FM Truck 6х4 12.8 гос.№ О445НХ72</v>
          </cell>
          <cell r="B1577" t="str">
            <v>МО-36</v>
          </cell>
        </row>
        <row r="1578">
          <cell r="A1578" t="str">
            <v>А/бетоносмес. 581482 на ш.Камаз 6520-61 гос.№ О448РУ72</v>
          </cell>
          <cell r="B1578" t="str">
            <v>МО-36</v>
          </cell>
        </row>
        <row r="1579">
          <cell r="A1579" t="str">
            <v>А/бетоносмес. 581482 на ш.Камаз 6520-61 гос.№ О449РУ72</v>
          </cell>
          <cell r="B1579" t="str">
            <v>МО-36</v>
          </cell>
        </row>
        <row r="1580">
          <cell r="A1580" t="str">
            <v>Фургон Ford Transit 22278С гос.№ О495СН72</v>
          </cell>
          <cell r="B1580" t="str">
            <v>МО-36</v>
          </cell>
        </row>
        <row r="1581">
          <cell r="A1581" t="str">
            <v>С/тягач Камаз 54105 гос.№ О526МВ72</v>
          </cell>
          <cell r="B1581" t="str">
            <v>МО-36</v>
          </cell>
        </row>
        <row r="1582">
          <cell r="A1582" t="str">
            <v>Автобетононасосы THM 80/29 Z4ХТ на ш.Мерседес (продан) гос.№ О531РТ72</v>
          </cell>
          <cell r="B1582" t="str">
            <v>МО-36</v>
          </cell>
        </row>
        <row r="1583">
          <cell r="A1583" t="str">
            <v>Автобетононасос THP 125/37 R4ST на ш.Мерседес гос.№ О532РТ72</v>
          </cell>
          <cell r="B1583" t="str">
            <v>МО-36</v>
          </cell>
        </row>
        <row r="1584">
          <cell r="A1584" t="str">
            <v>Самосвал Volvo FM Truck 6х4 гос.№ О612МН72</v>
          </cell>
          <cell r="B1584" t="str">
            <v>МО-36</v>
          </cell>
        </row>
        <row r="1585">
          <cell r="A1585" t="str">
            <v>С/тягач Volvo FM Truck 6х4 гос.№ О613МН72</v>
          </cell>
          <cell r="B1585" t="str">
            <v>МО-36</v>
          </cell>
        </row>
        <row r="1586">
          <cell r="A1586" t="str">
            <v>С/тягач МАЗ 6422А-330 гос.№ О614МН72</v>
          </cell>
          <cell r="B1586" t="str">
            <v>МО-36</v>
          </cell>
        </row>
        <row r="1587">
          <cell r="A1587" t="str">
            <v>Автобус ГАЗ 32213 гос.№ О667ТВ72</v>
          </cell>
          <cell r="B1587" t="str">
            <v>МО-36</v>
          </cell>
        </row>
        <row r="1588">
          <cell r="A1588" t="str">
            <v>Бортовой УАЗ 390945 гос.№ о673ун72</v>
          </cell>
          <cell r="B1588" t="str">
            <v>МО-36</v>
          </cell>
        </row>
        <row r="1589">
          <cell r="A1589" t="str">
            <v>Автокран КС-45717-1 на шасси Урал 4320 гос.№ О674УН72</v>
          </cell>
          <cell r="B1589" t="str">
            <v>МО-36</v>
          </cell>
        </row>
        <row r="1590">
          <cell r="A1590" t="str">
            <v>Автокран Liebherr LTM-1040-2.1 гос.№ О739НР72</v>
          </cell>
          <cell r="B1590" t="str">
            <v>МО-36</v>
          </cell>
        </row>
        <row r="1591">
          <cell r="A1591" t="str">
            <v>АТЗ 4923Н7-01 на шасси Hyundai HD78 гос.№ О768ЕХ72</v>
          </cell>
          <cell r="B1591" t="str">
            <v>МО-36</v>
          </cell>
        </row>
        <row r="1592">
          <cell r="A1592" t="str">
            <v>С/тягач Volvo FM Truck 6х4 12.8 гос.№ О856МЕ72</v>
          </cell>
          <cell r="B1592" t="str">
            <v>МО-36</v>
          </cell>
        </row>
        <row r="1593">
          <cell r="A1593" t="str">
            <v>АТЗ НефАЗ-66062-10 гос.№ О890МА72</v>
          </cell>
          <cell r="B1593" t="str">
            <v>МО-36</v>
          </cell>
        </row>
        <row r="1594">
          <cell r="A1594" t="str">
            <v>Автокран Liebherr LTM-1040-2.1 гос.№ О943ХЕ72</v>
          </cell>
          <cell r="B1594" t="str">
            <v>МО-36</v>
          </cell>
        </row>
        <row r="1595">
          <cell r="A1595" t="str">
            <v>Автокран Liebherr LTM-1040-2.1 гос.№ О945СС152</v>
          </cell>
          <cell r="B1595" t="str">
            <v>МО-36</v>
          </cell>
        </row>
        <row r="1596">
          <cell r="A1596" t="str">
            <v>С/тягач Scania P380-CB 6х4 EHZ гос.№ Р004ТУ72</v>
          </cell>
          <cell r="B1596" t="str">
            <v>МО-36</v>
          </cell>
        </row>
        <row r="1597">
          <cell r="A1597" t="str">
            <v>Автокран КС-35715 на шасси МАЗ 533702 гос.№ Р009ТУ72</v>
          </cell>
          <cell r="B1597" t="str">
            <v>МО-36</v>
          </cell>
        </row>
        <row r="1598">
          <cell r="A1598" t="str">
            <v>С/тягач МАН TGS 19.390 4X2 BLS-W гос.№ Р010ОР55</v>
          </cell>
          <cell r="B1598" t="str">
            <v>МО-36</v>
          </cell>
        </row>
        <row r="1599">
          <cell r="A1599" t="str">
            <v>VOLKSWAGEN Multivan гос.№ Р011ЕК72</v>
          </cell>
          <cell r="B1599" t="str">
            <v>МО-36</v>
          </cell>
        </row>
        <row r="1600">
          <cell r="A1600" t="str">
            <v>Самосвал Volvo FM Truck 6х4 гос.№ Р025МС72</v>
          </cell>
          <cell r="B1600" t="str">
            <v>МО-36</v>
          </cell>
        </row>
        <row r="1601">
          <cell r="A1601" t="str">
            <v>Самосвал Volvo FM Truck 6х4 гос.№ Р026МС72</v>
          </cell>
          <cell r="B1601" t="str">
            <v>МО-36</v>
          </cell>
        </row>
        <row r="1602">
          <cell r="A1602" t="str">
            <v>Самосвал Volvo FM Truck 6х4 гос.№ Р027МС72</v>
          </cell>
          <cell r="B1602" t="str">
            <v>МО-36</v>
          </cell>
        </row>
        <row r="1603">
          <cell r="A1603" t="str">
            <v>Самосвал Volvo FM Truck 6х4 гос.№ Р028МС72</v>
          </cell>
          <cell r="B1603" t="str">
            <v>МО-36</v>
          </cell>
        </row>
        <row r="1604">
          <cell r="A1604" t="str">
            <v>Самосвал Volvo FM Truck 6х4 гос.№ Р029МС72</v>
          </cell>
          <cell r="B1604" t="str">
            <v>МО-36</v>
          </cell>
        </row>
        <row r="1605">
          <cell r="A1605" t="str">
            <v>Самосвал Volvo FM Truck 6х4 гос.№ Р030МС72</v>
          </cell>
          <cell r="B1605" t="str">
            <v>МО-36</v>
          </cell>
        </row>
        <row r="1606">
          <cell r="A1606" t="str">
            <v>Самосвал Volvo FM Truck 6х4 гос.№ Р031МС72</v>
          </cell>
          <cell r="B1606" t="str">
            <v>МО-36</v>
          </cell>
        </row>
        <row r="1607">
          <cell r="A1607" t="str">
            <v>Автобус Hyundai Universe Luxury гос.№ Р033НУ125</v>
          </cell>
          <cell r="B1607" t="str">
            <v>МО-36</v>
          </cell>
        </row>
        <row r="1608">
          <cell r="A1608" t="str">
            <v>Автокран Liebherr LTM-1040-2.1 гос.№ Р069ЕС72</v>
          </cell>
          <cell r="B1608" t="str">
            <v>МО-36</v>
          </cell>
        </row>
        <row r="1609">
          <cell r="A1609" t="str">
            <v>Toyota RAV4 гос.№ Р091КХ72</v>
          </cell>
          <cell r="B1609" t="str">
            <v>МО-36</v>
          </cell>
        </row>
        <row r="1610">
          <cell r="A1610" t="str">
            <v>Самосвал Volvo FM Truck 6х4 гос.№ Р114СК72</v>
          </cell>
          <cell r="B1610" t="str">
            <v>МО-36</v>
          </cell>
        </row>
        <row r="1611">
          <cell r="A1611" t="str">
            <v>Самосвал Scania P380-CB 6х4 (Продан) гос.№ Р115СК72</v>
          </cell>
          <cell r="B1611" t="str">
            <v>МО-36</v>
          </cell>
        </row>
        <row r="1612">
          <cell r="A1612" t="str">
            <v>Самосвал Volvo FM Truck 6х4 гос.№ Р116СК72</v>
          </cell>
          <cell r="B1612" t="str">
            <v>МО-36</v>
          </cell>
        </row>
        <row r="1613">
          <cell r="A1613" t="str">
            <v>С/тягач Volvo FM Truck 6х4 гос.№ Р135ТК86</v>
          </cell>
          <cell r="B1613" t="str">
            <v>МО-36</v>
          </cell>
        </row>
        <row r="1614">
          <cell r="A1614" t="str">
            <v>АГПМ 18/9-7.5 на ш.КамАЗ 53213А гос.№ Р154РХ72</v>
          </cell>
          <cell r="B1614" t="str">
            <v>МО-36</v>
          </cell>
        </row>
        <row r="1615">
          <cell r="A1615" t="str">
            <v>Автокран Liebherr LTM-1040-2.1 гос.№ Р163КЕ72</v>
          </cell>
          <cell r="B1615" t="str">
            <v>МО-36</v>
          </cell>
        </row>
        <row r="1616">
          <cell r="A1616" t="str">
            <v>Автобус КАвЗ 4238-41 гос.№ Р224КХ72</v>
          </cell>
          <cell r="B1616" t="str">
            <v>МО-36</v>
          </cell>
        </row>
        <row r="1617">
          <cell r="A1617" t="str">
            <v>Самосвал Volvo FM Truck 6х6 гос.№ Р241ЕС72</v>
          </cell>
          <cell r="B1617" t="str">
            <v>МО-36</v>
          </cell>
        </row>
        <row r="1618">
          <cell r="A1618" t="str">
            <v>Mitsubishi L-200 2.5 гос.№ Р482КЕ72</v>
          </cell>
          <cell r="B1618" t="str">
            <v>МО-36</v>
          </cell>
        </row>
        <row r="1619">
          <cell r="A1619" t="str">
            <v>Автобус КАвЗ 4238-41 гос.№ Р532КЕ72</v>
          </cell>
          <cell r="B1619" t="str">
            <v>МО-36</v>
          </cell>
        </row>
        <row r="1620">
          <cell r="A1620" t="str">
            <v>С/тягач Volvo FM Truck 6х4 (продан) гос.№ Р548ММ72</v>
          </cell>
          <cell r="B1620" t="str">
            <v>МО-36</v>
          </cell>
        </row>
        <row r="1621">
          <cell r="A1621" t="str">
            <v>Самосвал Scania P400-CB 6х4 гос.№ Р664КХ72</v>
          </cell>
          <cell r="B1621" t="str">
            <v>МО-36</v>
          </cell>
        </row>
        <row r="1622">
          <cell r="A1622" t="str">
            <v>Самосвал Scania P400-CB 6х4 гос.№ Р665КХ72</v>
          </cell>
          <cell r="B1622" t="str">
            <v>МО-36</v>
          </cell>
        </row>
        <row r="1623">
          <cell r="A1623" t="str">
            <v>С/тягач Scania P380-CB 6х4 EHZ гос.№ Р666ТВ72</v>
          </cell>
          <cell r="B1623" t="str">
            <v>МО-36</v>
          </cell>
        </row>
        <row r="1624">
          <cell r="A1624" t="str">
            <v>АТЗ НефАЗ-66062-46 на шасси КамАЗ 43118 гос.№ Р748КЕ72</v>
          </cell>
          <cell r="B1624" t="str">
            <v>МО-36</v>
          </cell>
        </row>
        <row r="1625">
          <cell r="A1625" t="str">
            <v>Самосвал Volvo FM Truck 6х4 гос.№ Р766НЕ72</v>
          </cell>
          <cell r="B1625" t="str">
            <v>МО-36</v>
          </cell>
        </row>
        <row r="1626">
          <cell r="A1626" t="str">
            <v>FORD TRANSIT CONNECT 1.8 гос.№ Р857НО72</v>
          </cell>
          <cell r="B1626" t="str">
            <v>МО-36</v>
          </cell>
        </row>
        <row r="1627">
          <cell r="A1627" t="str">
            <v>Автокран Liebherr LTM-1040-2.1 гос.№ Р864КМ72</v>
          </cell>
          <cell r="B1627" t="str">
            <v>МО-36</v>
          </cell>
        </row>
        <row r="1628">
          <cell r="A1628" t="str">
            <v>Автобус 22370C Луидор гос.№ Р930РУ123</v>
          </cell>
          <cell r="B1628" t="str">
            <v>МО-36</v>
          </cell>
        </row>
        <row r="1629">
          <cell r="A1629" t="str">
            <v>А/бетоносмес. АМ-6ДА на шасси КамАЗ 53215 гос.№ Р956ЕТ72</v>
          </cell>
          <cell r="B1629" t="str">
            <v>МО-36</v>
          </cell>
        </row>
        <row r="1630">
          <cell r="A1630" t="str">
            <v>А/бетоносмес. АМ-6ДА на шасси КамАЗ 53215 гос.№ Р958ЕТ72</v>
          </cell>
          <cell r="B1630" t="str">
            <v>МО-36</v>
          </cell>
        </row>
        <row r="1631">
          <cell r="A1631" t="str">
            <v>Самосвал Volvo FM Truck 6х4 гос.№ Р959ВО89</v>
          </cell>
          <cell r="B1631" t="str">
            <v>МО-36</v>
          </cell>
        </row>
        <row r="1632">
          <cell r="A1632" t="str">
            <v>Самосвал КамАЗ 65115 гос.№ Р965ЕТ72</v>
          </cell>
          <cell r="B1632" t="str">
            <v>МО-36</v>
          </cell>
        </row>
        <row r="1633">
          <cell r="A1633" t="str">
            <v>Самосвал Volvo FM Truck 6х4 гос.№ Р979ВО89</v>
          </cell>
          <cell r="B1633" t="str">
            <v>МО-36</v>
          </cell>
        </row>
        <row r="1634">
          <cell r="A1634" t="str">
            <v>С/тягач КамАЗ 44108-24 гос.№ С014ХУ86</v>
          </cell>
          <cell r="B1634" t="str">
            <v>МО-36</v>
          </cell>
        </row>
        <row r="1635">
          <cell r="A1635" t="str">
            <v>Toyota Camry 3.5 гос.№ С018МХ72</v>
          </cell>
          <cell r="B1635" t="str">
            <v>МО-36</v>
          </cell>
        </row>
        <row r="1636">
          <cell r="A1636" t="str">
            <v>А/бетоносмес. 58147D на ш.Камаз 65115-D3 гос.№ С025УО86</v>
          </cell>
          <cell r="B1636" t="str">
            <v>МО-36</v>
          </cell>
        </row>
        <row r="1637">
          <cell r="A1637" t="str">
            <v>Самосвал Volvo FM Truck 6х4 гос.№ С041ВР89</v>
          </cell>
          <cell r="B1637" t="str">
            <v>МО-36</v>
          </cell>
        </row>
        <row r="1638">
          <cell r="A1638" t="str">
            <v>Toyota Hilux гос.№ С047МХ72</v>
          </cell>
          <cell r="B1638" t="str">
            <v>МО-36</v>
          </cell>
        </row>
        <row r="1639">
          <cell r="A1639" t="str">
            <v>А/бетоносмес. SCHWING на ш. MB ACTROS гос.№ С128УА72</v>
          </cell>
          <cell r="B1639" t="str">
            <v>МО-36</v>
          </cell>
        </row>
        <row r="1640">
          <cell r="A1640" t="str">
            <v>Самосвал Volvo FM Truck 6х4 гос.№ С141МН72</v>
          </cell>
          <cell r="B1640" t="str">
            <v>МО-36</v>
          </cell>
        </row>
        <row r="1641">
          <cell r="A1641" t="str">
            <v>А/бетоносмес. SCHWING на ш. MB ACTROS гос.№ С156УА72</v>
          </cell>
          <cell r="B1641" t="str">
            <v>МО-36</v>
          </cell>
        </row>
        <row r="1642">
          <cell r="A1642" t="str">
            <v>Самосвал Volvo FM Truck 6х4 гос.№ С165МН72</v>
          </cell>
          <cell r="B1642" t="str">
            <v>МО-36</v>
          </cell>
        </row>
        <row r="1643">
          <cell r="A1643" t="str">
            <v>Самосвал Volvo FM Truck 6х4 гос.№ С177МН72</v>
          </cell>
          <cell r="B1643" t="str">
            <v>МО-36</v>
          </cell>
        </row>
        <row r="1644">
          <cell r="A1644" t="str">
            <v>Renault Dokker гос.№ С180УО72</v>
          </cell>
          <cell r="B1644" t="str">
            <v>МО-36</v>
          </cell>
        </row>
        <row r="1645">
          <cell r="A1645" t="str">
            <v>А/бетоносмес. SCHWING на ш. MB ACTROS гос.№ С183УА72</v>
          </cell>
          <cell r="B1645" t="str">
            <v>МО-36</v>
          </cell>
        </row>
        <row r="1646">
          <cell r="A1646" t="str">
            <v>А/бетоносмес. SCHWING на ш. MB ACTROS гос.№ С190УА72</v>
          </cell>
          <cell r="B1646" t="str">
            <v>МО-36</v>
          </cell>
        </row>
        <row r="1647">
          <cell r="A1647" t="str">
            <v>А/бетоносмес. SCHWING на ш. MB ACTROS гос.№ С192УА72</v>
          </cell>
          <cell r="B1647" t="str">
            <v>МО-36</v>
          </cell>
        </row>
        <row r="1648">
          <cell r="A1648" t="str">
            <v>Renault Duster гос.№ С199НУ72</v>
          </cell>
          <cell r="B1648" t="str">
            <v>МО-36</v>
          </cell>
        </row>
        <row r="1649">
          <cell r="A1649" t="str">
            <v>А/бетоносмес. SCHWING на ш. MB ACTROS гос.№ С199УА72</v>
          </cell>
          <cell r="B1649" t="str">
            <v>МО-36</v>
          </cell>
        </row>
        <row r="1650">
          <cell r="A1650" t="str">
            <v>ХАВАЛ Н6 гос.№ С205МО72</v>
          </cell>
          <cell r="B1650" t="str">
            <v>МО-36</v>
          </cell>
        </row>
        <row r="1651">
          <cell r="A1651" t="str">
            <v>Самосвал Volvo FM Truck 6х4 гос.№ С217МН72</v>
          </cell>
          <cell r="B1651" t="str">
            <v>МО-36</v>
          </cell>
        </row>
        <row r="1652">
          <cell r="A1652" t="str">
            <v>Самосвал Volvo FM Truck 6х4 гос.№ С220МН72</v>
          </cell>
          <cell r="B1652" t="str">
            <v>МО-36</v>
          </cell>
        </row>
        <row r="1653">
          <cell r="A1653" t="str">
            <v>Самосвал MAN БМЦ-57.6 6х6 гос.№ С224ОХ72</v>
          </cell>
          <cell r="B1653" t="str">
            <v>МО-36</v>
          </cell>
        </row>
        <row r="1654">
          <cell r="A1654" t="str">
            <v>Самосвал Volvo FM Truck 6х4 гос.№ С225МН72</v>
          </cell>
          <cell r="B1654" t="str">
            <v>МО-36</v>
          </cell>
        </row>
        <row r="1655">
          <cell r="A1655" t="str">
            <v>Самосвал Volvo FM Truck 6х4 гос.№ С228МН72</v>
          </cell>
          <cell r="B1655" t="str">
            <v>МО-36</v>
          </cell>
        </row>
        <row r="1656">
          <cell r="A1656" t="str">
            <v>Самосвал Volvo FM Truck 6х4 гос.№ С234МН72</v>
          </cell>
          <cell r="B1656" t="str">
            <v>МО-36</v>
          </cell>
        </row>
        <row r="1657">
          <cell r="A1657" t="str">
            <v>Самосвал Volvo FM Truck 6х4 гос.№ С238МН72</v>
          </cell>
          <cell r="B1657" t="str">
            <v>МО-36</v>
          </cell>
        </row>
        <row r="1658">
          <cell r="A1658" t="str">
            <v>Автогидроподъемник 4389U7 на шасси ISUZU ELF 9.5 гос.№ С240ОХ72</v>
          </cell>
          <cell r="B1658" t="str">
            <v>МО-36</v>
          </cell>
        </row>
        <row r="1659">
          <cell r="A1659" t="str">
            <v>Самосвал Volvo FM Truck 6х4 гос.№ С241МН72</v>
          </cell>
          <cell r="B1659" t="str">
            <v>МО-36</v>
          </cell>
        </row>
        <row r="1660">
          <cell r="A1660" t="str">
            <v>Самосвал MAN БМЦ-57.6 6х6 гос.№ С243ОХ72</v>
          </cell>
          <cell r="B1660" t="str">
            <v>МО-36</v>
          </cell>
        </row>
        <row r="1661">
          <cell r="A1661" t="str">
            <v>Автогидроподъемник 4389U7 на шасси ISUZU ELF 9.5 гос.№ С253ОХ72</v>
          </cell>
          <cell r="B1661" t="str">
            <v>МО-36</v>
          </cell>
        </row>
        <row r="1662">
          <cell r="A1662" t="str">
            <v>Газ 27527 гос.№ с270са72</v>
          </cell>
          <cell r="B1662" t="str">
            <v>МО-36</v>
          </cell>
        </row>
        <row r="1663">
          <cell r="A1663" t="str">
            <v>Бортовой ГАЗ 33023 2.5 гос.№ с271са72</v>
          </cell>
          <cell r="B1663" t="str">
            <v>МО-36</v>
          </cell>
        </row>
        <row r="1664">
          <cell r="A1664" t="str">
            <v>С/тягач Mercedes-Benz Actros 3346S гос.№ С283ОА72</v>
          </cell>
          <cell r="B1664" t="str">
            <v>МО-36</v>
          </cell>
        </row>
        <row r="1665">
          <cell r="A1665" t="str">
            <v>С/тягач Mercedes-Benz Actros 3346S гос.№ С299ОА72</v>
          </cell>
          <cell r="B1665" t="str">
            <v>МО-36</v>
          </cell>
        </row>
        <row r="1666">
          <cell r="A1666" t="str">
            <v>Фургон Ford Transit 22278E гос.№ С312НЕ125</v>
          </cell>
          <cell r="B1666" t="str">
            <v>МО-36</v>
          </cell>
        </row>
        <row r="1667">
          <cell r="A1667" t="str">
            <v>Бортовой 738402 Hino GH8JPTA-QHR с КМУ гос.№ С320МР72</v>
          </cell>
          <cell r="B1667" t="str">
            <v>МО-36</v>
          </cell>
        </row>
        <row r="1668">
          <cell r="A1668" t="str">
            <v>С/тягач Volvo FM Truck 6х4 12.8 гос.№ С335РН72</v>
          </cell>
          <cell r="B1668" t="str">
            <v>МО-36</v>
          </cell>
        </row>
        <row r="1669">
          <cell r="A1669" t="str">
            <v>АТЗ Урал 661843 (Аренда) гос.№ С339МР72</v>
          </cell>
          <cell r="B1669" t="str">
            <v>МО-36</v>
          </cell>
        </row>
        <row r="1670">
          <cell r="A1670" t="str">
            <v>Nissan Terrano гос.№ С358ОА72</v>
          </cell>
          <cell r="B1670" t="str">
            <v>МО-36</v>
          </cell>
        </row>
        <row r="1671">
          <cell r="A1671" t="str">
            <v>Машина ассенизационная ВМК-65115-Е5 гос.№ С390РН72</v>
          </cell>
          <cell r="B1671" t="str">
            <v>МО-36</v>
          </cell>
        </row>
        <row r="1672">
          <cell r="A1672" t="str">
            <v>С/тягач Volvo FM Truck 6х4 гос.№ С469ТК86</v>
          </cell>
          <cell r="B1672" t="str">
            <v>МО-36</v>
          </cell>
        </row>
        <row r="1673">
          <cell r="A1673" t="str">
            <v>Автоцистерна 473892 на шасси ГАЗ 3309 гос.№ С515СТ86</v>
          </cell>
          <cell r="B1673" t="str">
            <v>МО-36</v>
          </cell>
        </row>
        <row r="1674">
          <cell r="A1674" t="str">
            <v>АТЗ Камаз гос.№ С560ХС72</v>
          </cell>
          <cell r="B1674" t="str">
            <v>МО-36</v>
          </cell>
        </row>
        <row r="1675">
          <cell r="A1675" t="str">
            <v>Бортовой ГАЗ 330253 гос.№ С599ХО72</v>
          </cell>
          <cell r="B1675" t="str">
            <v>МО-36</v>
          </cell>
        </row>
        <row r="1676">
          <cell r="A1676" t="str">
            <v>А/бетоносмес. SCHWING на ш. MB ACTROS гос.№ С603ТН72</v>
          </cell>
          <cell r="B1676" t="str">
            <v>МО-36</v>
          </cell>
        </row>
        <row r="1677">
          <cell r="A1677" t="str">
            <v>А/бетоносмес. SCHWING на ш. MB ACTROS гос.№ С615ТН72</v>
          </cell>
          <cell r="B1677" t="str">
            <v>МО-36</v>
          </cell>
        </row>
        <row r="1678">
          <cell r="A1678" t="str">
            <v>Бортовой УАЗ 236324 Profi гос.№ С623УЕ72</v>
          </cell>
          <cell r="B1678" t="str">
            <v>МО-36</v>
          </cell>
        </row>
        <row r="1679">
          <cell r="A1679" t="str">
            <v>Автобус НефАЗ 5299-08 гос.№ С661РУ86</v>
          </cell>
          <cell r="B1679" t="str">
            <v>МО-36</v>
          </cell>
        </row>
        <row r="1680">
          <cell r="A1680" t="str">
            <v>Бортовой УАЗ 236324 Profi гос.№ С665УЕ72</v>
          </cell>
          <cell r="B1680" t="str">
            <v>МО-36</v>
          </cell>
        </row>
        <row r="1681">
          <cell r="A1681" t="str">
            <v>А/бетоносмес. SCHWING на ш. MB ACTROS гос.№ С687УЕ72</v>
          </cell>
          <cell r="B1681" t="str">
            <v>МО-36</v>
          </cell>
        </row>
        <row r="1682">
          <cell r="A1682" t="str">
            <v>А/бетоносмес. SCHWING на ш. MB ACTROS гос.№ С700УЕ72</v>
          </cell>
          <cell r="B1682" t="str">
            <v>МО-36</v>
          </cell>
        </row>
        <row r="1683">
          <cell r="A1683" t="str">
            <v>С/тягач Volvo FM Truck 6х4 12.8 гос.№ С716РН72</v>
          </cell>
          <cell r="B1683" t="str">
            <v>МО-36</v>
          </cell>
        </row>
        <row r="1684">
          <cell r="A1684" t="str">
            <v>С/тягач Volvo FM Truck 6х4 12.8 гос.№ С725РН72</v>
          </cell>
          <cell r="B1684" t="str">
            <v>МО-36</v>
          </cell>
        </row>
        <row r="1685">
          <cell r="A1685" t="str">
            <v>С/тягач Volvo FM Truck 6х4 12.8 гос.№ С744РН72</v>
          </cell>
          <cell r="B1685" t="str">
            <v>МО-36</v>
          </cell>
        </row>
        <row r="1686">
          <cell r="A1686" t="str">
            <v>С/тягач Volvo FM Truck 6х4 12.8 гос.№ С751РН72</v>
          </cell>
          <cell r="B1686" t="str">
            <v>МО-36</v>
          </cell>
        </row>
        <row r="1687">
          <cell r="A1687" t="str">
            <v>Lexus RX350 гос.№ С754НК72</v>
          </cell>
          <cell r="B1687" t="str">
            <v>МО-36</v>
          </cell>
        </row>
        <row r="1688">
          <cell r="A1688" t="str">
            <v>С/тягач Volvo FM Truck 6х4 12.8 гос.№ С769РН72</v>
          </cell>
          <cell r="B1688" t="str">
            <v>МО-36</v>
          </cell>
        </row>
        <row r="1689">
          <cell r="A1689" t="str">
            <v>Kia JD Ceed гос.№ С772СТ72</v>
          </cell>
          <cell r="B1689" t="str">
            <v>МО-36</v>
          </cell>
        </row>
        <row r="1690">
          <cell r="A1690" t="str">
            <v>С/тягач Volvo FM Truck 6х4 12.8 гос.№ С774РН72</v>
          </cell>
          <cell r="B1690" t="str">
            <v>МО-36</v>
          </cell>
        </row>
        <row r="1691">
          <cell r="A1691" t="str">
            <v>Автобус ПАЗ 320530-22 гос.№ С822РК72</v>
          </cell>
          <cell r="B1691" t="str">
            <v>МО-36</v>
          </cell>
        </row>
        <row r="1692">
          <cell r="A1692" t="str">
            <v>Самосвал Volvo FM Truck 6х4 гос.№ С824НС72</v>
          </cell>
          <cell r="B1692" t="str">
            <v>МО-36</v>
          </cell>
        </row>
        <row r="1693">
          <cell r="A1693" t="str">
            <v>Автобус ПАЗ 320530-22 гос.№ С824РК72</v>
          </cell>
          <cell r="B1693" t="str">
            <v>МО-36</v>
          </cell>
        </row>
        <row r="1694">
          <cell r="A1694" t="str">
            <v>Самосвал Volvo FM Truck 6х4 гос.№ С840НС72</v>
          </cell>
          <cell r="B1694" t="str">
            <v>МО-36</v>
          </cell>
        </row>
        <row r="1695">
          <cell r="A1695" t="str">
            <v>Самосвал Volvo FM Truck 6х4 гос.№ С842НС72</v>
          </cell>
          <cell r="B1695" t="str">
            <v>МО-36</v>
          </cell>
        </row>
        <row r="1696">
          <cell r="A1696" t="str">
            <v>Автобус КАвЗ 4238-02 гос.№ С875РТ72</v>
          </cell>
          <cell r="B1696" t="str">
            <v>МО-36</v>
          </cell>
        </row>
        <row r="1697">
          <cell r="A1697" t="str">
            <v>Самосвал Volvo FM Truck 6х4 гос.№ С880НС72</v>
          </cell>
          <cell r="B1697" t="str">
            <v>МО-36</v>
          </cell>
        </row>
        <row r="1698">
          <cell r="A1698" t="str">
            <v>Самосвал Volvo FM Truck 6х4 гос.№ С881НС72</v>
          </cell>
          <cell r="B1698" t="str">
            <v>МО-36</v>
          </cell>
        </row>
        <row r="1699">
          <cell r="A1699" t="str">
            <v>Самосвал Volvo FM Truck 6х4 гос.№ С884НС72</v>
          </cell>
          <cell r="B1699" t="str">
            <v>МО-36</v>
          </cell>
        </row>
        <row r="1700">
          <cell r="A1700" t="str">
            <v>Самосвал Volvo FM Truck 6х4 гос.№ С886НС72</v>
          </cell>
          <cell r="B1700" t="str">
            <v>МО-36</v>
          </cell>
        </row>
        <row r="1701">
          <cell r="A1701" t="str">
            <v>Самосвал Volvo FM Truck 6х4 гос.№ С887НС72</v>
          </cell>
          <cell r="B1701" t="str">
            <v>МО-36</v>
          </cell>
        </row>
        <row r="1702">
          <cell r="A1702" t="str">
            <v>Toyota Highlander гос.№ С888ЕО72</v>
          </cell>
          <cell r="B1702" t="str">
            <v>МО-36</v>
          </cell>
        </row>
        <row r="1703">
          <cell r="A1703" t="str">
            <v>Мерседес-Бенц Actros 2042 гос.№ С889СА750</v>
          </cell>
          <cell r="B1703" t="str">
            <v>МО-36</v>
          </cell>
        </row>
        <row r="1704">
          <cell r="A1704" t="str">
            <v>Бортовой Kia Bongo III гос.№ С918РВ72</v>
          </cell>
          <cell r="B1704" t="str">
            <v>МО-36</v>
          </cell>
        </row>
        <row r="1705">
          <cell r="A1705" t="str">
            <v>Ford Explorer гос.№ С924МС72</v>
          </cell>
          <cell r="B1705" t="str">
            <v>МО-36</v>
          </cell>
        </row>
        <row r="1706">
          <cell r="A1706" t="str">
            <v>Автобус КамАЗ 4208 гос.№ С929РК72</v>
          </cell>
          <cell r="B1706" t="str">
            <v>МО-36</v>
          </cell>
        </row>
        <row r="1707">
          <cell r="A1707" t="str">
            <v>АТЗ УЗСТ 6619-60 на шасси КамАЗ 43118 гос.№ С959ХО72</v>
          </cell>
          <cell r="B1707" t="str">
            <v>МО-36</v>
          </cell>
        </row>
        <row r="1708">
          <cell r="A1708" t="str">
            <v>Renault Duster гос.№ С976ХТ72</v>
          </cell>
          <cell r="B1708" t="str">
            <v>МО-36</v>
          </cell>
        </row>
        <row r="1709">
          <cell r="A1709" t="str">
            <v>Toyota Land Cruiser 150 (Prado) гос.№ С991УО72</v>
          </cell>
          <cell r="B1709" t="str">
            <v>МО-36</v>
          </cell>
        </row>
        <row r="1710">
          <cell r="A1710" t="str">
            <v>МИЦУБИСИ LANCER 1.5 гос.№ Т015СТ72</v>
          </cell>
          <cell r="B1710" t="str">
            <v>МО-36</v>
          </cell>
        </row>
        <row r="1711">
          <cell r="A1711" t="str">
            <v>Самосвал Volvo FM Truck 6х4 гос.№ Т051СС72</v>
          </cell>
          <cell r="B1711" t="str">
            <v>МО-36</v>
          </cell>
        </row>
        <row r="1712">
          <cell r="A1712" t="str">
            <v>Самосвал Volvo FM Truck 6х4 гос.№ Т052СС72</v>
          </cell>
          <cell r="B1712" t="str">
            <v>МО-36</v>
          </cell>
        </row>
        <row r="1713">
          <cell r="A1713" t="str">
            <v>Самосвал Volvo FM Truck 6х4 гос.№ Т053СС72</v>
          </cell>
          <cell r="B1713" t="str">
            <v>МО-36</v>
          </cell>
        </row>
        <row r="1714">
          <cell r="A1714" t="str">
            <v>Toyota Hilux гос.№ Т087ХУ72</v>
          </cell>
          <cell r="B1714" t="str">
            <v>МО-36</v>
          </cell>
        </row>
        <row r="1715">
          <cell r="A1715" t="str">
            <v>А/бетоносмес. Volvo FM Truck 6x4 гос.№ Т115РР72</v>
          </cell>
          <cell r="B1715" t="str">
            <v>МО-36</v>
          </cell>
        </row>
        <row r="1716">
          <cell r="A1716" t="str">
            <v>Toyota RAV4 гос.№ Т129ЕА72</v>
          </cell>
          <cell r="B1716" t="str">
            <v>МО-36</v>
          </cell>
        </row>
        <row r="1717">
          <cell r="A1717" t="str">
            <v>Автобус FORD TRANSIT гос.№ Т171НМ125</v>
          </cell>
          <cell r="B1717" t="str">
            <v>МО-36</v>
          </cell>
        </row>
        <row r="1718">
          <cell r="A1718" t="str">
            <v>Toyota Hilux гос.№ Т188РН72</v>
          </cell>
          <cell r="B1718" t="str">
            <v>МО-36</v>
          </cell>
        </row>
        <row r="1719">
          <cell r="A1719" t="str">
            <v>Skoda Superb гос.№ Т199УА72</v>
          </cell>
          <cell r="B1719" t="str">
            <v>МО-36</v>
          </cell>
        </row>
        <row r="1720">
          <cell r="A1720" t="str">
            <v>А/бетоносмес. 5814T6 на шасси КамАЗ 43118 гос.№ Т243РН72</v>
          </cell>
          <cell r="B1720" t="str">
            <v>МО-36</v>
          </cell>
        </row>
        <row r="1721">
          <cell r="A1721" t="str">
            <v>А/бетоносмес. 5814T6 на шасси КамАЗ 43118 гос.№ Т251РН72</v>
          </cell>
          <cell r="B1721" t="str">
            <v>МО-36</v>
          </cell>
        </row>
        <row r="1722">
          <cell r="A1722" t="str">
            <v>А/бетоносмес. АБС-681464 на шасси КамАЗ 23228 гос.№ Т252РН86</v>
          </cell>
          <cell r="B1722" t="str">
            <v>МО-36</v>
          </cell>
        </row>
        <row r="1723">
          <cell r="A1723" t="str">
            <v>Бортовой ГАЗ 231073 гос.№ Т254РН72</v>
          </cell>
          <cell r="B1723" t="str">
            <v>МО-36</v>
          </cell>
        </row>
        <row r="1724">
          <cell r="A1724" t="str">
            <v>Генераторная установка АД-45С-Т400-2РНМ5 гос.№ Т400</v>
          </cell>
          <cell r="B1724" t="str">
            <v>МО-36</v>
          </cell>
        </row>
        <row r="1725">
          <cell r="A1725" t="str">
            <v>Бетононасос 681110 на ш.КамАЗ 6520-73 гос.№ Т400УС72</v>
          </cell>
          <cell r="B1725" t="str">
            <v>МО-36</v>
          </cell>
        </row>
        <row r="1726">
          <cell r="A1726" t="str">
            <v>ГАЗ Газель бизнес 330253 гос.№ Т434СО72</v>
          </cell>
          <cell r="B1726" t="str">
            <v>МО-36</v>
          </cell>
        </row>
        <row r="1727">
          <cell r="A1727" t="str">
            <v>АТЗ МАЗ 5337 гос.№ Т443ВК89</v>
          </cell>
          <cell r="B1727" t="str">
            <v>МО-36</v>
          </cell>
        </row>
        <row r="1728">
          <cell r="A1728" t="str">
            <v>RENAULT KAPTUR гос.№ Т499ХВ72</v>
          </cell>
          <cell r="B1728" t="str">
            <v>МО-36</v>
          </cell>
        </row>
        <row r="1729">
          <cell r="A1729" t="str">
            <v>С/тягач КамАЗ 5410 гос.№ Т608МС72</v>
          </cell>
          <cell r="B1729" t="str">
            <v>МО-36</v>
          </cell>
        </row>
        <row r="1730">
          <cell r="A1730" t="str">
            <v>Renault Duster гос.№ Т685МС72</v>
          </cell>
          <cell r="B1730" t="str">
            <v>МО-36</v>
          </cell>
        </row>
        <row r="1731">
          <cell r="A1731" t="str">
            <v>Автокран КС-45717-1 на шасси Урал 4320 гос.№ Т713КХ123</v>
          </cell>
          <cell r="B1731" t="str">
            <v>МО-36</v>
          </cell>
        </row>
        <row r="1732">
          <cell r="A1732" t="str">
            <v>Бетононасос 681110 на ш.КамАЗ 6520-73 гос.№ Т858УТ72</v>
          </cell>
          <cell r="B1732" t="str">
            <v>МО-36</v>
          </cell>
        </row>
        <row r="1733">
          <cell r="A1733" t="str">
            <v>С/тягач КамАЗ 6460 гос.№ Т881ТУ86</v>
          </cell>
          <cell r="B1733" t="str">
            <v>МО-36</v>
          </cell>
        </row>
        <row r="1734">
          <cell r="A1734" t="str">
            <v>Автобус FORD TRANSIT гос.№ Т903РХ72</v>
          </cell>
          <cell r="B1734" t="str">
            <v>МО-36</v>
          </cell>
        </row>
        <row r="1735">
          <cell r="A1735" t="str">
            <v>УАЗ ПАТРИОТ гос.№ Т925КР72</v>
          </cell>
          <cell r="B1735" t="str">
            <v>МО-36</v>
          </cell>
        </row>
        <row r="1736">
          <cell r="A1736" t="str">
            <v>АТЗ НефАЗ-66062-10 на шасси КамАЗ 43118 гос.№ У039АХ186</v>
          </cell>
          <cell r="B1736" t="str">
            <v>МО-36</v>
          </cell>
        </row>
        <row r="1737">
          <cell r="A1737" t="str">
            <v>Renault Duster гос.№ У080МХ72</v>
          </cell>
          <cell r="B1737" t="str">
            <v>МО-36</v>
          </cell>
        </row>
        <row r="1738">
          <cell r="A1738" t="str">
            <v>Лесовоз КамАЗ 44108 гос.№ У089МС72</v>
          </cell>
          <cell r="B1738" t="str">
            <v>МО-36</v>
          </cell>
        </row>
        <row r="1739">
          <cell r="A1739" t="str">
            <v>Бетононасос 681110 на ш.КамАЗ 6520-73 гос.№ У146МА72</v>
          </cell>
          <cell r="B1739" t="str">
            <v>МО-36</v>
          </cell>
        </row>
        <row r="1740">
          <cell r="A1740" t="str">
            <v>Mercedes-Benz E300 гос.№ У183НО799</v>
          </cell>
          <cell r="B1740" t="str">
            <v>МО-36</v>
          </cell>
        </row>
        <row r="1741">
          <cell r="A1741" t="str">
            <v>Renault Duster гос.№ У192ЕН72</v>
          </cell>
          <cell r="B1741" t="str">
            <v>МО-36</v>
          </cell>
        </row>
        <row r="1742">
          <cell r="A1742" t="str">
            <v>Renault Duster гос.№ У195ЕН72</v>
          </cell>
          <cell r="B1742" t="str">
            <v>МО-36</v>
          </cell>
        </row>
        <row r="1743">
          <cell r="A1743" t="str">
            <v>Renault Duster гос.№ У235УС72</v>
          </cell>
          <cell r="B1743" t="str">
            <v>МО-36</v>
          </cell>
        </row>
        <row r="1744">
          <cell r="A1744" t="str">
            <v>Renault Duster гос.№ У274УТ72</v>
          </cell>
          <cell r="B1744" t="str">
            <v>МО-36</v>
          </cell>
        </row>
        <row r="1745">
          <cell r="A1745" t="str">
            <v>Самосвал Mercedes-Benz Actros 65516 гос.№ У291СХ86</v>
          </cell>
          <cell r="B1745" t="str">
            <v>МО-36</v>
          </cell>
        </row>
        <row r="1746">
          <cell r="A1746" t="str">
            <v>С/тягач Mercedes-Benz Actros 3341AS гос.№ У293CХ86</v>
          </cell>
          <cell r="B1746" t="str">
            <v>МО-36</v>
          </cell>
        </row>
        <row r="1747">
          <cell r="A1747" t="str">
            <v>Автобус ПАЗ 4234 гос.№ У398РА72</v>
          </cell>
          <cell r="B1747" t="str">
            <v>МО-36</v>
          </cell>
        </row>
        <row r="1748">
          <cell r="A1748" t="str">
            <v>Автобус ПАЗ 4234 гос.№ У399РА72</v>
          </cell>
          <cell r="B1748" t="str">
            <v>МО-36</v>
          </cell>
        </row>
        <row r="1749">
          <cell r="A1749" t="str">
            <v>АТЗ Урал 54538L гос.№ У422ХМ72</v>
          </cell>
          <cell r="B1749" t="str">
            <v>МО-36</v>
          </cell>
        </row>
        <row r="1750">
          <cell r="A1750" t="str">
            <v>Renault Duster гос.№ У469УК72</v>
          </cell>
          <cell r="B1750" t="str">
            <v>МО-36</v>
          </cell>
        </row>
        <row r="1751">
          <cell r="A1751" t="str">
            <v>Лесовоз КамАЗ 44108 гос.№ У484ХС86</v>
          </cell>
          <cell r="B1751" t="str">
            <v>МО-36</v>
          </cell>
        </row>
        <row r="1752">
          <cell r="A1752" t="str">
            <v>Toyota RAV4 гос.№ У513ХО72</v>
          </cell>
          <cell r="B1752" t="str">
            <v>МО-36</v>
          </cell>
        </row>
        <row r="1753">
          <cell r="A1753" t="str">
            <v>CHEVROLET NIVA гос.№ У536ХЕ72</v>
          </cell>
          <cell r="B1753" t="str">
            <v>МО-36</v>
          </cell>
        </row>
        <row r="1754">
          <cell r="A1754" t="str">
            <v>Renault Dokker гос.№ У557ТО174</v>
          </cell>
          <cell r="B1754" t="str">
            <v>МО-36</v>
          </cell>
        </row>
        <row r="1755">
          <cell r="A1755" t="str">
            <v>А/бетоносмес. Volvo FM Truck 8x4 гос.№ У705ОЕ72</v>
          </cell>
          <cell r="B1755" t="str">
            <v>МО-36</v>
          </cell>
        </row>
        <row r="1756">
          <cell r="A1756" t="str">
            <v>Автокран Liebherr LTM-1040-2.1 гос.№ У791КА750</v>
          </cell>
          <cell r="B1756" t="str">
            <v>МО-36</v>
          </cell>
        </row>
        <row r="1757">
          <cell r="A1757" t="str">
            <v>Renault Duster гос.№ У807ХК72</v>
          </cell>
          <cell r="B1757" t="str">
            <v>МО-36</v>
          </cell>
        </row>
        <row r="1758">
          <cell r="A1758" t="str">
            <v>Toyota Alphard гос.№ У827ХО72</v>
          </cell>
          <cell r="B1758" t="str">
            <v>МО-36</v>
          </cell>
        </row>
        <row r="1759">
          <cell r="A1759" t="str">
            <v>Renault Duster гос.№ У840ЕЕ72</v>
          </cell>
          <cell r="B1759" t="str">
            <v>МО-36</v>
          </cell>
        </row>
        <row r="1760">
          <cell r="A1760" t="str">
            <v>УАЗ Патриот гос.№ У855МО72</v>
          </cell>
          <cell r="B1760" t="str">
            <v>МО-36</v>
          </cell>
        </row>
        <row r="1761">
          <cell r="A1761" t="str">
            <v>Автокран КС-45717-2Р на шасси Урал 4320 гос.№ У876ХН72</v>
          </cell>
          <cell r="B1761" t="str">
            <v>МО-36</v>
          </cell>
        </row>
        <row r="1762">
          <cell r="A1762" t="str">
            <v>Автокран КС-45717-2Р на шасси Урал 4320 гос.№ У945ХЕ72</v>
          </cell>
          <cell r="B1762" t="str">
            <v>МО-36</v>
          </cell>
        </row>
        <row r="1763">
          <cell r="A1763" t="str">
            <v>Renault Duster гос.№ У971ХН72</v>
          </cell>
          <cell r="B1763" t="str">
            <v>МО-36</v>
          </cell>
        </row>
        <row r="1764">
          <cell r="A1764" t="str">
            <v>Автокран КС-55713-5 на шасси КамАЗ 43118 гос.№ Х009ХН86</v>
          </cell>
          <cell r="B1764" t="str">
            <v>МО-36</v>
          </cell>
        </row>
        <row r="1765">
          <cell r="A1765" t="str">
            <v>Автокран Liebherr LTM-1095 гос.№ Х113УО86</v>
          </cell>
          <cell r="B1765" t="str">
            <v>МО-36</v>
          </cell>
        </row>
        <row r="1766">
          <cell r="A1766" t="str">
            <v>С/тягач Volvo FM Truck 6х4 12.8 гос.№ Х207УС86</v>
          </cell>
          <cell r="B1766" t="str">
            <v>МО-36</v>
          </cell>
        </row>
        <row r="1767">
          <cell r="A1767" t="str">
            <v>Автокран КС-45717-1 на шасси Урал 4320 гос.№ Х345РК86</v>
          </cell>
          <cell r="B1767" t="str">
            <v>МО-36</v>
          </cell>
        </row>
        <row r="1768">
          <cell r="A1768" t="str">
            <v>Chevrolet KLAC гос.№ Х532СХ86</v>
          </cell>
          <cell r="B1768" t="str">
            <v>МО-36</v>
          </cell>
        </row>
        <row r="1769">
          <cell r="A1769" t="str">
            <v>Chevrolet Niva гос.№ Х595ОР86</v>
          </cell>
          <cell r="B1769" t="str">
            <v>МО-36</v>
          </cell>
        </row>
        <row r="1770">
          <cell r="A1770" t="str">
            <v>Манипулятор Бортовой Hino 63H7A2 с КМУ гос.№ Х642РС72</v>
          </cell>
          <cell r="B1770" t="str">
            <v>МО-36</v>
          </cell>
        </row>
        <row r="1771">
          <cell r="A1771" t="str">
            <v>Самосвал КамАЗ 43255-Н3 гос.№ Х643РС72</v>
          </cell>
          <cell r="B1771" t="str">
            <v>МО-87</v>
          </cell>
        </row>
        <row r="1772">
          <cell r="A1772" t="str">
            <v>Самосвал КамАЗ 43255-Н3 гос.№ Х644РС72</v>
          </cell>
          <cell r="B1772" t="str">
            <v>МО-36</v>
          </cell>
        </row>
        <row r="1773">
          <cell r="A1773" t="str">
            <v>С/тягач КамАЗ 44108 гос.№ Х884ХА86</v>
          </cell>
          <cell r="B1773" t="str">
            <v>МО-36</v>
          </cell>
        </row>
        <row r="1774">
          <cell r="A1774" t="str">
            <v>Renault Duster гос.№ 0</v>
          </cell>
          <cell r="B1774" t="str">
            <v>МО-36</v>
          </cell>
        </row>
        <row r="1775">
          <cell r="A1775" t="str">
            <v>Toyota Camry 3.5 гос.№ 00000000001</v>
          </cell>
          <cell r="B1775" t="str">
            <v>МО-36</v>
          </cell>
        </row>
        <row r="1776">
          <cell r="A1776" t="str">
            <v>Кран гусеничный IHI CCH-700 гос.№ 0139ТО72</v>
          </cell>
          <cell r="B1776" t="str">
            <v>МО-36</v>
          </cell>
        </row>
        <row r="1777">
          <cell r="A1777" t="str">
            <v>Автопогрузчик Manitou MHT-X780 гос.№ 0543ТА72</v>
          </cell>
          <cell r="B1777" t="str">
            <v>МО-36</v>
          </cell>
        </row>
        <row r="1778">
          <cell r="A1778" t="str">
            <v>Минипогрузчик Bobcat T190 гос.№ 0544ТА72</v>
          </cell>
          <cell r="B1778" t="str">
            <v>МО-36</v>
          </cell>
        </row>
        <row r="1779">
          <cell r="A1779" t="str">
            <v>ДГУ AKSA AJD-275 гос.№ 0546</v>
          </cell>
          <cell r="B1779" t="str">
            <v>МО-36</v>
          </cell>
        </row>
        <row r="1780">
          <cell r="A1780" t="str">
            <v>Полуприцеп 9438-0000010 гос.№ 0565ВА89</v>
          </cell>
          <cell r="B1780" t="str">
            <v>МО-36</v>
          </cell>
        </row>
        <row r="1781">
          <cell r="A1781" t="str">
            <v>Полуприцеп 9438-0000010 гос.№ 0566ВА89</v>
          </cell>
          <cell r="B1781" t="str">
            <v>МО-36</v>
          </cell>
        </row>
        <row r="1782">
          <cell r="A1782" t="str">
            <v>Полуприцеп-тяжеловоз 994271 гос.№ 0609АХ72</v>
          </cell>
          <cell r="B1782" t="str">
            <v>МО-36</v>
          </cell>
        </row>
        <row r="1783">
          <cell r="A1783" t="str">
            <v>Полуприцеп ТСП-94171-0000010 гос.№ 0811АХ72</v>
          </cell>
          <cell r="B1783" t="str">
            <v>МО-36</v>
          </cell>
        </row>
        <row r="1784">
          <cell r="A1784" t="str">
            <v>Полуприцеп ТСП-94171-0000010 гос.№ 0812АХ72</v>
          </cell>
          <cell r="B1784" t="str">
            <v>МО-36</v>
          </cell>
        </row>
        <row r="1785">
          <cell r="A1785" t="str">
            <v>МО-36 Тепловоз ТГМ-4Б гос.№ 0864</v>
          </cell>
          <cell r="B1785" t="str">
            <v>МО-36</v>
          </cell>
        </row>
        <row r="1786">
          <cell r="A1786" t="str">
            <v>Willson Р500Р гос.№ 0925</v>
          </cell>
          <cell r="B1786" t="str">
            <v>МО-36</v>
          </cell>
        </row>
        <row r="1787">
          <cell r="A1787" t="str">
            <v>Автопогрузчик Manitou MT7322 гос.№ 0934ТО72</v>
          </cell>
          <cell r="B1787" t="str">
            <v>МО-36</v>
          </cell>
        </row>
        <row r="1788">
          <cell r="A1788" t="str">
            <v>Кран гусеничный Hitachi KH-500L гос.№ 0945ТО72</v>
          </cell>
          <cell r="B1788" t="str">
            <v>МО-36</v>
          </cell>
        </row>
        <row r="1789">
          <cell r="A1789" t="str">
            <v>Кран гусеничный Hitachi KH-500L гос.№ 0946ТО72</v>
          </cell>
          <cell r="B1789" t="str">
            <v>МО-36</v>
          </cell>
        </row>
        <row r="1790">
          <cell r="A1790" t="str">
            <v>Бульдозер Komatsu D65E-12 гос.№ 1073ТР72</v>
          </cell>
          <cell r="B1790" t="str">
            <v>МО-36</v>
          </cell>
        </row>
        <row r="1791">
          <cell r="A1791" t="str">
            <v>Сваебойный комплекс гос.№ 11</v>
          </cell>
          <cell r="B1791" t="str">
            <v>МО-36</v>
          </cell>
        </row>
        <row r="1792">
          <cell r="A1792" t="str">
            <v>Дизель-генератор SDMO Montana J44 гос.№ 1120</v>
          </cell>
          <cell r="B1792" t="str">
            <v>МО-36</v>
          </cell>
        </row>
        <row r="1793">
          <cell r="A1793" t="str">
            <v>Сваебойный комплекс IHC Hydrohammer S-90 №3 гос.№ 1121</v>
          </cell>
          <cell r="B1793" t="str">
            <v>МО-36</v>
          </cell>
        </row>
        <row r="1794">
          <cell r="A1794" t="str">
            <v>Дизель-генератор AIRMAN SDG13S 1130 гос.№ 1130</v>
          </cell>
          <cell r="B1794" t="str">
            <v>МО-36</v>
          </cell>
        </row>
        <row r="1795">
          <cell r="A1795" t="str">
            <v>Компрессор Airman PDS-390S гос.№ 11326</v>
          </cell>
          <cell r="B1795" t="str">
            <v>МО-36</v>
          </cell>
        </row>
        <row r="1796">
          <cell r="A1796" t="str">
            <v>Компрессор Airman PDS-390S гос.№ 11348</v>
          </cell>
          <cell r="B1796" t="str">
            <v>МО-36</v>
          </cell>
        </row>
        <row r="1797">
          <cell r="A1797" t="str">
            <v>Компрессор Airman PDS-390S гос.№ 11365</v>
          </cell>
          <cell r="B1797" t="str">
            <v>МО-36</v>
          </cell>
        </row>
        <row r="1798">
          <cell r="A1798" t="str">
            <v>Компрессор Airman PDS-390S гос.№ 11413</v>
          </cell>
          <cell r="B1798" t="str">
            <v>МО-36</v>
          </cell>
        </row>
        <row r="1799">
          <cell r="A1799" t="str">
            <v>Дизель-генератор AIRMAN SDG13S гос.№ 1215</v>
          </cell>
          <cell r="B1799" t="str">
            <v>МО-36</v>
          </cell>
        </row>
        <row r="1800">
          <cell r="A1800" t="str">
            <v>Дизель-генератор AIRMAN SDG45S гос.№ 1216</v>
          </cell>
          <cell r="B1800" t="str">
            <v>МО-36</v>
          </cell>
        </row>
        <row r="1801">
          <cell r="A1801" t="str">
            <v>Дизель-генератор AIRMAN SDG45S гос.№ 1217</v>
          </cell>
          <cell r="B1801" t="str">
            <v>МО-36</v>
          </cell>
        </row>
        <row r="1802">
          <cell r="A1802" t="str">
            <v>Дизель-генератор SDMO Montana V550C2 гос.№ 13002556</v>
          </cell>
          <cell r="B1802" t="str">
            <v>МО-36</v>
          </cell>
        </row>
        <row r="1803">
          <cell r="A1803" t="str">
            <v>Компрессор Airman PDS-390SC гос.№ 1307</v>
          </cell>
          <cell r="B1803" t="str">
            <v>МО-36</v>
          </cell>
        </row>
        <row r="1804">
          <cell r="A1804" t="str">
            <v>Компрессор Airman PDS-390S гос.№ 1328</v>
          </cell>
          <cell r="B1804" t="str">
            <v>МО-36</v>
          </cell>
        </row>
        <row r="1805">
          <cell r="A1805" t="str">
            <v>Дизель-генератор SDMO Montana J130 гос.№ 1332</v>
          </cell>
          <cell r="B1805" t="str">
            <v>МО-36</v>
          </cell>
        </row>
        <row r="1806">
          <cell r="A1806" t="str">
            <v>Дизель-генератор SDMO Montana J130 гос.№ 1333</v>
          </cell>
          <cell r="B1806" t="str">
            <v>МО-36</v>
          </cell>
        </row>
        <row r="1807">
          <cell r="A1807" t="str">
            <v>Дизель-генератор SDMO Montana J130 гос.№ 1334</v>
          </cell>
          <cell r="B1807" t="str">
            <v>МО-36</v>
          </cell>
        </row>
        <row r="1808">
          <cell r="A1808" t="str">
            <v>Дизель-генератор SDMO Montana D330 гос.№ 1336</v>
          </cell>
          <cell r="B1808" t="str">
            <v>МО-36</v>
          </cell>
        </row>
        <row r="1809">
          <cell r="A1809" t="str">
            <v>Дизель-генератор SDMO Montana J130 гос.№ 1337</v>
          </cell>
          <cell r="B1809" t="str">
            <v>МО-36</v>
          </cell>
        </row>
        <row r="1810">
          <cell r="A1810" t="str">
            <v>Компрессор Airman PDS-390S гос.№ 1348</v>
          </cell>
          <cell r="B1810" t="str">
            <v>МО-36</v>
          </cell>
        </row>
        <row r="1811">
          <cell r="A1811" t="str">
            <v>Электростанция Airman SDG-25S гос.№ 1367</v>
          </cell>
          <cell r="B1811" t="str">
            <v>МО-36</v>
          </cell>
        </row>
        <row r="1812">
          <cell r="A1812" t="str">
            <v>Электростанция Airman SDG-45S гос.№ 1369</v>
          </cell>
          <cell r="B1812" t="str">
            <v>МО-36</v>
          </cell>
        </row>
        <row r="1813">
          <cell r="A1813" t="str">
            <v>Дизель-генератор AIRMAN SDG60S гос.№ 1370</v>
          </cell>
          <cell r="B1813" t="str">
            <v>МО-36</v>
          </cell>
        </row>
        <row r="1814">
          <cell r="A1814" t="str">
            <v>Экскаватор гусеничный Hyundai R305LC-7 гос.№ 1371ТО72</v>
          </cell>
          <cell r="B1814" t="str">
            <v>МО-36</v>
          </cell>
        </row>
        <row r="1815">
          <cell r="A1815" t="str">
            <v>Дизель-генератор SDMO Montana J22 гос.№ 1394</v>
          </cell>
          <cell r="B1815" t="str">
            <v>МО-36</v>
          </cell>
        </row>
        <row r="1816">
          <cell r="A1816" t="str">
            <v>Дизель-генератор SDMO Montana J44 гос.№ 1396</v>
          </cell>
          <cell r="B1816" t="str">
            <v>МО-36</v>
          </cell>
        </row>
        <row r="1817">
          <cell r="A1817" t="str">
            <v>Дизель-генератор SDMO Montana J44 1443 гос.№ 1443</v>
          </cell>
          <cell r="B1817" t="str">
            <v>МО-36</v>
          </cell>
        </row>
        <row r="1818">
          <cell r="A1818" t="str">
            <v>Дизель-генератор SDMO Montana J130 гос.№ 1447</v>
          </cell>
          <cell r="B1818" t="str">
            <v>МО-36</v>
          </cell>
        </row>
        <row r="1819">
          <cell r="A1819" t="str">
            <v>гос.№ 1448</v>
          </cell>
          <cell r="B1819" t="str">
            <v>МО-36</v>
          </cell>
        </row>
        <row r="1820">
          <cell r="A1820" t="str">
            <v>Компрессор Airman PDS-390SC гос.№ 1453</v>
          </cell>
          <cell r="B1820" t="str">
            <v>МО-36</v>
          </cell>
        </row>
        <row r="1821">
          <cell r="A1821" t="str">
            <v>Экскаватор Komatsu WB93S-5 гос.№ 1453ТК72</v>
          </cell>
          <cell r="B1821" t="str">
            <v>МО-36</v>
          </cell>
        </row>
        <row r="1822">
          <cell r="A1822" t="str">
            <v>Дизель-генератор SDMO Montana J66 гос.№ 1465</v>
          </cell>
          <cell r="B1822" t="str">
            <v>МО-36</v>
          </cell>
        </row>
        <row r="1823">
          <cell r="A1823" t="str">
            <v>Автокран Kato NK-750 гос.№ 1465ХК86</v>
          </cell>
          <cell r="B1823" t="str">
            <v>МО-36</v>
          </cell>
        </row>
        <row r="1824">
          <cell r="A1824" t="str">
            <v>Дизель-генератор SDMO Montana J130 гос.№ 1467</v>
          </cell>
          <cell r="B1824" t="str">
            <v>МО-36</v>
          </cell>
        </row>
        <row r="1825">
          <cell r="A1825" t="str">
            <v>Мачта осветительная QLT M10 гос.№ 1467/2</v>
          </cell>
          <cell r="B1825" t="str">
            <v>МО-36</v>
          </cell>
        </row>
        <row r="1826">
          <cell r="A1826" t="str">
            <v>Дизель-генератор SDMO Montana J66 гос.№ 1472</v>
          </cell>
          <cell r="B1826" t="str">
            <v>МО-36</v>
          </cell>
        </row>
        <row r="1827">
          <cell r="A1827" t="str">
            <v>Дизель-генератор AIRMAN SDG60S гос.№ 1473A</v>
          </cell>
          <cell r="B1827" t="str">
            <v>МО-36</v>
          </cell>
        </row>
        <row r="1828">
          <cell r="A1828" t="str">
            <v>Дизель-генератор SDMO Montana J130 гос.№ 1478</v>
          </cell>
          <cell r="B1828" t="str">
            <v>МО-36</v>
          </cell>
        </row>
        <row r="1829">
          <cell r="A1829" t="str">
            <v>Кран железнодорожный КЖ-562 с грейфером 4-Л2-В гос.№ 148</v>
          </cell>
          <cell r="B1829" t="str">
            <v>МО-36</v>
          </cell>
        </row>
        <row r="1830">
          <cell r="A1830" t="str">
            <v>Полуприцеп-платформа FAYMONVILLE SPZ-3AA гос.№ 1500ВА72</v>
          </cell>
          <cell r="B1830" t="str">
            <v>МО-36</v>
          </cell>
        </row>
        <row r="1831">
          <cell r="A1831" t="str">
            <v>Емкость гос.№ 15000</v>
          </cell>
          <cell r="B1831" t="str">
            <v>МО-36</v>
          </cell>
        </row>
        <row r="1832">
          <cell r="A1832" t="str">
            <v>Компрессор Airman PDS-390SC гос.№ 1509</v>
          </cell>
          <cell r="B1832" t="str">
            <v>МО-36</v>
          </cell>
        </row>
        <row r="1833">
          <cell r="A1833" t="str">
            <v>Компрессор Airman PDS-390SC гос.№ 1513</v>
          </cell>
          <cell r="B1833" t="str">
            <v>МО-36</v>
          </cell>
        </row>
        <row r="1834">
          <cell r="A1834" t="str">
            <v>Компрессор Airman PDS-390SC гос.№ 1517</v>
          </cell>
          <cell r="B1834" t="str">
            <v>МО-36</v>
          </cell>
        </row>
        <row r="1835">
          <cell r="A1835" t="str">
            <v>Компрессор Airman PDS-390SC гос.№ 1518</v>
          </cell>
          <cell r="B1835" t="str">
            <v>МО-36</v>
          </cell>
        </row>
        <row r="1836">
          <cell r="A1836" t="str">
            <v>Компрессор Airman PDS-390SC гос.№ 1519</v>
          </cell>
          <cell r="B1836" t="str">
            <v>МО-36</v>
          </cell>
        </row>
        <row r="1837">
          <cell r="A1837" t="str">
            <v>Полуприцеп-тяжеловоз гос.№ 1557АС86</v>
          </cell>
          <cell r="B1837" t="str">
            <v>МО-36</v>
          </cell>
        </row>
        <row r="1838">
          <cell r="A1838" t="str">
            <v>Кран гусеничный Liebherr LTR-1100 гос.№ 1669ОА72</v>
          </cell>
          <cell r="B1838" t="str">
            <v>МО-36</v>
          </cell>
        </row>
        <row r="1839">
          <cell r="A1839" t="str">
            <v>Полуприцеп МАЗ 975800-2012 гос.№ 1715АХ72</v>
          </cell>
          <cell r="B1839" t="str">
            <v>МО-36</v>
          </cell>
        </row>
        <row r="1840">
          <cell r="A1840" t="str">
            <v>Полуприцеп МАЗ 975800-044 1716ах72 гос.№ 1716АХ72</v>
          </cell>
          <cell r="B1840" t="str">
            <v>МО-36</v>
          </cell>
        </row>
        <row r="1841">
          <cell r="A1841" t="str">
            <v>Кран самоходный гусеничный ДЭК-321 гос.№ 1766ОВ72</v>
          </cell>
          <cell r="B1841" t="str">
            <v>МО-36</v>
          </cell>
        </row>
        <row r="1842">
          <cell r="A1842" t="str">
            <v>Дизель-генератор SDMO Montana J88 гос.№ 1784</v>
          </cell>
          <cell r="B1842" t="str">
            <v>МО-36</v>
          </cell>
        </row>
        <row r="1843">
          <cell r="A1843" t="str">
            <v>Кран стреловой самоходный Grove RT765E-2 гос.№ 1796ТК72</v>
          </cell>
          <cell r="B1843" t="str">
            <v>МО-36</v>
          </cell>
        </row>
        <row r="1844">
          <cell r="A1844" t="str">
            <v>Погрузчик Doosan DISD SD200 гос.№ 1798ОВ72</v>
          </cell>
          <cell r="B1844" t="str">
            <v>МО-36</v>
          </cell>
        </row>
        <row r="1845">
          <cell r="A1845" t="str">
            <v>Снегоболотоход ТРЭКОЛ 39294-ВН гос.№ 1799ОВ72</v>
          </cell>
          <cell r="B1845" t="str">
            <v>МО-36</v>
          </cell>
        </row>
        <row r="1846">
          <cell r="A1846" t="str">
            <v>Кран железнодорожный КЖ-562 180 гос.№ 180</v>
          </cell>
          <cell r="B1846" t="str">
            <v>МО-36</v>
          </cell>
        </row>
        <row r="1847">
          <cell r="A1847" t="str">
            <v>Кран железнодорожный КЖ гос.№ 181</v>
          </cell>
          <cell r="B1847" t="str">
            <v>МО-36</v>
          </cell>
        </row>
        <row r="1848">
          <cell r="A1848" t="str">
            <v>Бульдозер Liebherr PR 734 L GP гос.№ 1849ТО72</v>
          </cell>
          <cell r="B1848" t="str">
            <v>МО-36</v>
          </cell>
        </row>
        <row r="1849">
          <cell r="A1849" t="str">
            <v>Экскаватор Liebherr R934 C LC гос.№ 1861ТО72</v>
          </cell>
          <cell r="B1849" t="str">
            <v>МО-36</v>
          </cell>
        </row>
        <row r="1850">
          <cell r="A1850" t="str">
            <v>Экскаватор Liebherr R934 C LC гос.№ 1882ТО72</v>
          </cell>
          <cell r="B1850" t="str">
            <v>МО-36</v>
          </cell>
        </row>
        <row r="1851">
          <cell r="A1851" t="str">
            <v>Дизельная электростанция Atlas Copco QAS 125 гос.№ 1889</v>
          </cell>
          <cell r="B1851" t="str">
            <v>МО-36</v>
          </cell>
        </row>
        <row r="1852">
          <cell r="A1852" t="str">
            <v>Автопогрузчик Manitou MT732 гос.№ 1913ТА72</v>
          </cell>
          <cell r="B1852" t="str">
            <v>МО-36</v>
          </cell>
        </row>
        <row r="1853">
          <cell r="A1853" t="str">
            <v>Минипогрузчик фронтальный Komatsu SK1026-5 гос.№ 1914ТА72</v>
          </cell>
          <cell r="B1853" t="str">
            <v>МО-36</v>
          </cell>
        </row>
        <row r="1854">
          <cell r="A1854" t="str">
            <v>Экскаватор-погрузчик New Holland B110-4PT гос.№ 1934НА86</v>
          </cell>
          <cell r="B1854" t="str">
            <v>МО-36</v>
          </cell>
        </row>
        <row r="1855">
          <cell r="A1855" t="str">
            <v>Экскаватор-погрузчик New Holland B110-4PT гос.№ 1934ОА72</v>
          </cell>
          <cell r="B1855" t="str">
            <v>МО-36</v>
          </cell>
        </row>
        <row r="1856">
          <cell r="A1856" t="str">
            <v>Установка сваебойная Junttan PM25-HD гос.№ 1946ТУ72</v>
          </cell>
          <cell r="B1856" t="str">
            <v>МО-36</v>
          </cell>
        </row>
        <row r="1857">
          <cell r="A1857" t="str">
            <v>Электростанция Airman SDG-100S гос.№ 1993</v>
          </cell>
          <cell r="B1857" t="str">
            <v>МО-36</v>
          </cell>
        </row>
        <row r="1858">
          <cell r="A1858" t="str">
            <v>Электростанция Airman SDG-100S гос.№ 2004</v>
          </cell>
          <cell r="B1858" t="str">
            <v>МО-36</v>
          </cell>
        </row>
        <row r="1859">
          <cell r="A1859" t="str">
            <v>Электростанция Airman SDG-100S гос.№ 2010</v>
          </cell>
          <cell r="B1859" t="str">
            <v>МО-36</v>
          </cell>
        </row>
        <row r="1860">
          <cell r="A1860" t="str">
            <v>Электростанция Airman SDG-100S гос.№ 2011</v>
          </cell>
          <cell r="B1860" t="str">
            <v>МО-36</v>
          </cell>
        </row>
        <row r="1861">
          <cell r="A1861" t="str">
            <v>Электростанция Airman SDG-45S гос.№ 20136</v>
          </cell>
          <cell r="B1861" t="str">
            <v>МО-36</v>
          </cell>
        </row>
        <row r="1862">
          <cell r="A1862" t="str">
            <v>Электростанция Airman SDG-45S гос.№ 20160</v>
          </cell>
          <cell r="B1862" t="str">
            <v>МО-36</v>
          </cell>
        </row>
        <row r="1863">
          <cell r="A1863" t="str">
            <v>Электростанция Airman SDG-45SE гос.№ 20161</v>
          </cell>
          <cell r="B1863" t="str">
            <v>МО-36</v>
          </cell>
        </row>
        <row r="1864">
          <cell r="A1864" t="str">
            <v>Электростанция Airman SDG-45S гос.№ 20162</v>
          </cell>
          <cell r="B1864" t="str">
            <v>МО-36</v>
          </cell>
        </row>
        <row r="1865">
          <cell r="A1865" t="str">
            <v>Электростанция Airman SDG-100S гос.№ 2041</v>
          </cell>
          <cell r="B1865" t="str">
            <v>МО-36</v>
          </cell>
        </row>
        <row r="1866">
          <cell r="A1866" t="str">
            <v>Электростанция Airman SDG-100S гос.№ 2042</v>
          </cell>
          <cell r="B1866" t="str">
            <v>МО-36</v>
          </cell>
        </row>
        <row r="1867">
          <cell r="A1867" t="str">
            <v>Электростанция Airman SDG-100S гос.№ 2050</v>
          </cell>
          <cell r="B1867" t="str">
            <v>МО-36</v>
          </cell>
        </row>
        <row r="1868">
          <cell r="A1868" t="str">
            <v>Полуприцеп ТСП-94171-0000020 гос.№ 2069АР86</v>
          </cell>
          <cell r="B1868" t="str">
            <v>МО-36</v>
          </cell>
        </row>
        <row r="1869">
          <cell r="A1869" t="str">
            <v>Полуприцеп ТСП-94171-0000020 гос.№ 2070АР86</v>
          </cell>
          <cell r="B1869" t="str">
            <v>МО-36</v>
          </cell>
        </row>
        <row r="1870">
          <cell r="A1870" t="str">
            <v>Полуприцеп 993960 гос.№ 2120АУ72</v>
          </cell>
          <cell r="B1870" t="str">
            <v>МО-36</v>
          </cell>
        </row>
        <row r="1871">
          <cell r="A1871" t="str">
            <v>Сваебойный комплекс IHC Hydrohammer S-70 гос.№ 2131</v>
          </cell>
          <cell r="B1871" t="str">
            <v>МО-36</v>
          </cell>
        </row>
        <row r="1872">
          <cell r="A1872" t="str">
            <v>Тепловоз ТГМ-23 гос.№ 2138</v>
          </cell>
          <cell r="B1872" t="str">
            <v>МО-36</v>
          </cell>
        </row>
        <row r="1873">
          <cell r="A1873" t="str">
            <v>Дизель-генератор SDMO Montana J66 гос.№ 2169</v>
          </cell>
          <cell r="B1873" t="str">
            <v>МО-36</v>
          </cell>
        </row>
        <row r="1874">
          <cell r="A1874" t="str">
            <v>Дизель-генератор SDMO Montana J66 гос.№ 2227</v>
          </cell>
          <cell r="B1874" t="str">
            <v>МО-36</v>
          </cell>
        </row>
        <row r="1875">
          <cell r="A1875" t="str">
            <v>Полуприцеп ТСП-94171-0000010 2248АР86 гос.№ 2248АР86</v>
          </cell>
          <cell r="B1875" t="str">
            <v>МО-36</v>
          </cell>
        </row>
        <row r="1876">
          <cell r="A1876" t="str">
            <v>Электростанция Airman SDG-150S гос.№ 2282</v>
          </cell>
          <cell r="B1876" t="str">
            <v>МО-36</v>
          </cell>
        </row>
        <row r="1877">
          <cell r="A1877" t="str">
            <v>Электростанция Airman SDG-150S гос.№ 2283</v>
          </cell>
          <cell r="B1877" t="str">
            <v>МО-36</v>
          </cell>
        </row>
        <row r="1878">
          <cell r="A1878" t="str">
            <v>Электростанция Airman SDG-150S гос.№ 2284</v>
          </cell>
          <cell r="B1878" t="str">
            <v>МО-36</v>
          </cell>
        </row>
        <row r="1879">
          <cell r="A1879" t="str">
            <v>Электростанция Airman SDG-150S гос.№ 2285</v>
          </cell>
          <cell r="B1879" t="str">
            <v>МО-36</v>
          </cell>
        </row>
        <row r="1880">
          <cell r="A1880" t="str">
            <v>Электростанция Airman SDG-150S гос.№ 2286</v>
          </cell>
          <cell r="B1880" t="str">
            <v>МО-36</v>
          </cell>
        </row>
        <row r="1881">
          <cell r="A1881" t="str">
            <v>Электростанция Airman SDG-150S гос.№ 2287</v>
          </cell>
          <cell r="B1881" t="str">
            <v>МО-36</v>
          </cell>
        </row>
        <row r="1882">
          <cell r="A1882" t="str">
            <v>Электростанция Airman SDG-150S гос.№ 2288</v>
          </cell>
          <cell r="B1882" t="str">
            <v>МО-36</v>
          </cell>
        </row>
        <row r="1883">
          <cell r="A1883" t="str">
            <v>Электростанция Airman SDG-150S гос.№ 2289</v>
          </cell>
          <cell r="B1883" t="str">
            <v>МО-36</v>
          </cell>
        </row>
        <row r="1884">
          <cell r="A1884" t="str">
            <v>Электростанция Airman SDG-150S гос.№ 2290</v>
          </cell>
          <cell r="B1884" t="str">
            <v>МО-36</v>
          </cell>
        </row>
        <row r="1885">
          <cell r="A1885" t="str">
            <v>Кран гусеничный Liebherr LR-1280 гос.№ 2323ТО72</v>
          </cell>
          <cell r="B1885" t="str">
            <v>МО-36</v>
          </cell>
        </row>
        <row r="1886">
          <cell r="A1886" t="str">
            <v>Сваебойный комплекс IHC Hydrohammer S-35 гос.№ 2422</v>
          </cell>
          <cell r="B1886" t="str">
            <v>МО-36</v>
          </cell>
        </row>
        <row r="1887">
          <cell r="A1887" t="str">
            <v>Сваебойный комплекс IHC Hydrohammer S-90 №2 гос.№ 2468</v>
          </cell>
          <cell r="B1887" t="str">
            <v>МО-36</v>
          </cell>
        </row>
        <row r="1888">
          <cell r="A1888" t="str">
            <v>Дизель-генератор SDMO Montana V550C2 гос.№ 2556</v>
          </cell>
          <cell r="B1888" t="str">
            <v>МО-36</v>
          </cell>
        </row>
        <row r="1889">
          <cell r="A1889" t="str">
            <v>Дизель-генератор AIRMAN SDG45S гос.№ 2582</v>
          </cell>
          <cell r="B1889" t="str">
            <v>МО-36</v>
          </cell>
        </row>
        <row r="1890">
          <cell r="A1890" t="str">
            <v>Дизель-генератор AIRMAN SDG45S гос.№ 2585</v>
          </cell>
          <cell r="B1890" t="str">
            <v>МО-36</v>
          </cell>
        </row>
        <row r="1891">
          <cell r="A1891" t="str">
            <v>Дизель-генератор AIRMAN SDG60S гос.№ 2586</v>
          </cell>
          <cell r="B1891" t="str">
            <v>МО-36</v>
          </cell>
        </row>
        <row r="1892">
          <cell r="A1892" t="str">
            <v>Мачта осветительная VT4 8m гос.№ 2618</v>
          </cell>
          <cell r="B1892" t="str">
            <v>МО-36</v>
          </cell>
        </row>
        <row r="1893">
          <cell r="A1893" t="str">
            <v>BRUCE SGH-2815 №1 гос.№ 2650</v>
          </cell>
          <cell r="B1893" t="str">
            <v>МО-36</v>
          </cell>
        </row>
        <row r="1894">
          <cell r="A1894" t="str">
            <v>BRUCE SGH-2815 №2 гос.№ 2651</v>
          </cell>
          <cell r="B1894" t="str">
            <v>МО-36</v>
          </cell>
        </row>
        <row r="1895">
          <cell r="A1895" t="str">
            <v>Полуприцеп ТСП-94171-0000010 с раздв.кониками гос.№ 2658АУ72</v>
          </cell>
          <cell r="B1895" t="str">
            <v>МО-36</v>
          </cell>
        </row>
        <row r="1896">
          <cell r="A1896" t="str">
            <v>Сваебойный комплекс IHC S-280 гос.№ 2676</v>
          </cell>
          <cell r="B1896" t="str">
            <v>МО-36</v>
          </cell>
        </row>
        <row r="1897">
          <cell r="A1897" t="str">
            <v>Дизель-генератор SDMO Montana J44 2702 гос.№ 2702</v>
          </cell>
          <cell r="B1897" t="str">
            <v>МО-36</v>
          </cell>
        </row>
        <row r="1898">
          <cell r="A1898" t="str">
            <v>Дизель-генератор SDMO Montana J44 гос.№ 2703</v>
          </cell>
          <cell r="B1898" t="str">
            <v>МО-36</v>
          </cell>
        </row>
        <row r="1899">
          <cell r="A1899" t="str">
            <v>Дизель-генератор SDMO Montana J44 гос.№ 2704</v>
          </cell>
          <cell r="B1899" t="str">
            <v>МО-36</v>
          </cell>
        </row>
        <row r="1900">
          <cell r="A1900" t="str">
            <v>Генераторная установка SDМО T33К гос.№ 2723</v>
          </cell>
          <cell r="B1900" t="str">
            <v>МО-36</v>
          </cell>
        </row>
        <row r="1901">
          <cell r="A1901" t="str">
            <v>Автобус FORD TRANSIT гос.№ 2742</v>
          </cell>
          <cell r="B1901" t="str">
            <v>МО-36</v>
          </cell>
        </row>
        <row r="1902">
          <cell r="A1902" t="str">
            <v>Генераторная установка TELYS J275 гос.№ 275</v>
          </cell>
          <cell r="B1902" t="str">
            <v>МО-36</v>
          </cell>
        </row>
        <row r="1903">
          <cell r="A1903" t="str">
            <v>Дизельная электростанция Atlas Copco QAS 125 гос.№ 2806</v>
          </cell>
          <cell r="B1903" t="str">
            <v>МО-36</v>
          </cell>
        </row>
        <row r="1904">
          <cell r="A1904" t="str">
            <v>Дизельная электростанция Atlas Copco QAS 125 гос.№ 2809</v>
          </cell>
          <cell r="B1904" t="str">
            <v>МО-36</v>
          </cell>
        </row>
        <row r="1905">
          <cell r="A1905" t="str">
            <v>Дизельная электростанция Atlas Copco QAS 125 гос.№ 2811</v>
          </cell>
          <cell r="B1905" t="str">
            <v>МО-36</v>
          </cell>
        </row>
        <row r="1906">
          <cell r="A1906" t="str">
            <v>Сваебойный комплекс BRUCE SGH гос.№ 28151</v>
          </cell>
          <cell r="B1906" t="str">
            <v>МО-36</v>
          </cell>
        </row>
        <row r="1907">
          <cell r="A1907" t="str">
            <v>Сваебойный комплекс BRUCE SGH гос.№ 28152</v>
          </cell>
          <cell r="B1907" t="str">
            <v>МО-36</v>
          </cell>
        </row>
        <row r="1908">
          <cell r="A1908" t="str">
            <v>ВИБРОПОГРУЖАТЕЛЬ 30Н2L №1 гос.№ 28184</v>
          </cell>
          <cell r="B1908" t="str">
            <v>МО-36</v>
          </cell>
        </row>
        <row r="1909">
          <cell r="A1909" t="str">
            <v>Компрессор Airman PDS-130SC гос.№ 282</v>
          </cell>
          <cell r="B1909" t="str">
            <v>МО-36</v>
          </cell>
        </row>
        <row r="1910">
          <cell r="A1910" t="str">
            <v>Компрессор Airman PDS-185S гос.№ 285</v>
          </cell>
          <cell r="B1910" t="str">
            <v>МО-36</v>
          </cell>
        </row>
        <row r="1911">
          <cell r="A1911" t="str">
            <v>Экскаватор Liebherr A900C Litronic гос.№ 2855ТО72</v>
          </cell>
          <cell r="B1911" t="str">
            <v>МО-36</v>
          </cell>
        </row>
        <row r="1912">
          <cell r="A1912" t="str">
            <v>Дизельная электростанция Atlas Copco QAS 125 гос.№ 2862</v>
          </cell>
          <cell r="B1912" t="str">
            <v>МО-36</v>
          </cell>
        </row>
        <row r="1913">
          <cell r="A1913" t="str">
            <v>Электростанция Airman SDG-25S гос.№ 2865</v>
          </cell>
          <cell r="B1913" t="str">
            <v>МО-36</v>
          </cell>
        </row>
        <row r="1914">
          <cell r="A1914" t="str">
            <v>Дизель-генератор SDMO Montana J66 гос.№ 2868</v>
          </cell>
          <cell r="B1914" t="str">
            <v>МО-36</v>
          </cell>
        </row>
        <row r="1915">
          <cell r="A1915" t="str">
            <v>Дизельная электростанция Atlas Copco QAS 125 гос.№ 2893</v>
          </cell>
          <cell r="B1915" t="str">
            <v>МО-36</v>
          </cell>
        </row>
        <row r="1916">
          <cell r="A1916" t="str">
            <v>Дизельная электростанция Atlas Copco QAS 125 гос.№ 2896</v>
          </cell>
          <cell r="B1916" t="str">
            <v>МО-36</v>
          </cell>
        </row>
        <row r="1917">
          <cell r="A1917" t="str">
            <v>Вибропогружатель PTС 32HFV (2936) гос.№ 2936</v>
          </cell>
          <cell r="B1917" t="str">
            <v>МО-36</v>
          </cell>
        </row>
        <row r="1918">
          <cell r="A1918" t="str">
            <v>Полуприцеп 9438-0000010 гос.№ 2974АХ72</v>
          </cell>
          <cell r="B1918" t="str">
            <v>МО-36</v>
          </cell>
        </row>
        <row r="1919">
          <cell r="A1919" t="str">
            <v>Полуприцеп 9438-0000010 гос.№ 2975АХ72</v>
          </cell>
          <cell r="B1919" t="str">
            <v>МО-36</v>
          </cell>
        </row>
        <row r="1920">
          <cell r="A1920" t="str">
            <v>Полуприцеп 9438-0000010 гос.№ 2976АХ72</v>
          </cell>
          <cell r="B1920" t="str">
            <v>МО-36</v>
          </cell>
        </row>
        <row r="1921">
          <cell r="A1921" t="str">
            <v>Вибропогружатель PTС 65HD 47957 гос.№ 2977</v>
          </cell>
          <cell r="B1921" t="str">
            <v>МО-36</v>
          </cell>
        </row>
        <row r="1922">
          <cell r="A1922" t="str">
            <v>Мачта осветительная VT4 2995 гос.№ 2995</v>
          </cell>
          <cell r="B1922" t="str">
            <v>МО-36</v>
          </cell>
        </row>
        <row r="1923">
          <cell r="A1923" t="str">
            <v>Компрессорная станция КВ 10/10 с ПЖД гос.№ 3038</v>
          </cell>
          <cell r="B1923" t="str">
            <v>МО-36</v>
          </cell>
        </row>
        <row r="1924">
          <cell r="A1924" t="str">
            <v>Оборудование Bauer Fly Drill BFD2000 3040 гос.№ 3040</v>
          </cell>
          <cell r="B1924" t="str">
            <v>МО-36</v>
          </cell>
        </row>
        <row r="1925">
          <cell r="A1925" t="str">
            <v>Минипогрузчик New Holland гос.№ 3044ТУ72</v>
          </cell>
          <cell r="B1925" t="str">
            <v>МО-36</v>
          </cell>
        </row>
        <row r="1926">
          <cell r="A1926" t="str">
            <v>Полуприцеп МАЗ 975800-044 3088ао86 гос.№ 3088АО86</v>
          </cell>
          <cell r="B1926" t="str">
            <v>МО-36</v>
          </cell>
        </row>
        <row r="1927">
          <cell r="A1927" t="str">
            <v>Экскаватор Komatsu WB93S-5 гос.№ 3102ТА72</v>
          </cell>
          <cell r="B1927" t="str">
            <v>МО-36</v>
          </cell>
        </row>
        <row r="1928">
          <cell r="A1928" t="str">
            <v>Кран гусеничный IHI CCH-700 гос.№ 3123ОА72</v>
          </cell>
          <cell r="B1928" t="str">
            <v>МО-36</v>
          </cell>
        </row>
        <row r="1929">
          <cell r="A1929" t="str">
            <v>Установка сваебойная Junttan PM25-HD гос.№ 3139ТК72</v>
          </cell>
          <cell r="B1929" t="str">
            <v>МО-36</v>
          </cell>
        </row>
        <row r="1930">
          <cell r="A1930" t="str">
            <v>Трактор МТЗ-82 гос.№ 3244ТА72</v>
          </cell>
          <cell r="B1930" t="str">
            <v>МО-36</v>
          </cell>
        </row>
        <row r="1931">
          <cell r="A1931" t="str">
            <v>Экскаватор-погрузчик New Holland B115-4PS гос.№ 3366ОВ72</v>
          </cell>
          <cell r="B1931" t="str">
            <v>МО-36</v>
          </cell>
        </row>
        <row r="1932">
          <cell r="A1932" t="str">
            <v>Компрессорная станция КВ 10/10 с ПЖД (716) гос.№ 3385</v>
          </cell>
          <cell r="B1932" t="str">
            <v>МО-36</v>
          </cell>
        </row>
        <row r="1933">
          <cell r="A1933" t="str">
            <v>Дизель-генератор SDMO Montana J66 гос.№ 3400</v>
          </cell>
          <cell r="B1933" t="str">
            <v>МО-36</v>
          </cell>
        </row>
        <row r="1934">
          <cell r="A1934" t="str">
            <v>Дизель-генератор SDMO Montana J44 гос.№ 3401</v>
          </cell>
          <cell r="B1934" t="str">
            <v>МО-36</v>
          </cell>
        </row>
        <row r="1935">
          <cell r="A1935" t="str">
            <v>Дизель-генератор SDMO Montana J88 гос.№ 3402</v>
          </cell>
          <cell r="B1935" t="str">
            <v>МО-36</v>
          </cell>
        </row>
        <row r="1936">
          <cell r="A1936" t="str">
            <v>Кран гусеничный IHI CCH-700 гос.№ 3431ТК72</v>
          </cell>
          <cell r="B1936" t="str">
            <v>МО-36</v>
          </cell>
        </row>
        <row r="1937">
          <cell r="A1937" t="str">
            <v>Кран гусеничный Hitachi KH-180-3 гос.№ 3432ТК72</v>
          </cell>
          <cell r="B1937" t="str">
            <v>МО-36</v>
          </cell>
        </row>
        <row r="1938">
          <cell r="A1938" t="str">
            <v>Дизель-генератор SDMO Montana J44 гос.№ 3443</v>
          </cell>
          <cell r="B1938" t="str">
            <v>МО-36</v>
          </cell>
        </row>
        <row r="1939">
          <cell r="A1939" t="str">
            <v>Дизель-генератор SDMO Montana J44 гос.№ 3444</v>
          </cell>
          <cell r="B1939" t="str">
            <v>МО-36</v>
          </cell>
        </row>
        <row r="1940">
          <cell r="A1940" t="str">
            <v>Дизель-генератор SDMO Montana J88 гос.№ 3445</v>
          </cell>
          <cell r="B1940" t="str">
            <v>МО-36</v>
          </cell>
        </row>
        <row r="1941">
          <cell r="A1941" t="str">
            <v>Дизель-генератор SDMO Montana J130 гос.№ 3452</v>
          </cell>
          <cell r="B1941" t="str">
            <v>МО-36</v>
          </cell>
        </row>
        <row r="1942">
          <cell r="A1942" t="str">
            <v>Дизель-генератор SDMO Montana J130 гос.№ 3479</v>
          </cell>
          <cell r="B1942" t="str">
            <v>МО-36</v>
          </cell>
        </row>
        <row r="1943">
          <cell r="A1943" t="str">
            <v>Экскаватор-погрузчик грейфер. ПЭ-Ф1-Б на б.МТЗ-82 гос.№ 3772ТВ72</v>
          </cell>
          <cell r="B1943" t="str">
            <v>МО-36</v>
          </cell>
        </row>
        <row r="1944">
          <cell r="A1944" t="str">
            <v>Электростанция Willson 200 гос.№ 3872</v>
          </cell>
          <cell r="B1944" t="str">
            <v>МО-36</v>
          </cell>
        </row>
        <row r="1945">
          <cell r="A1945" t="str">
            <v>Дизель-генератор SDMO Montana J130 гос.№ 3898</v>
          </cell>
          <cell r="B1945" t="str">
            <v>МО-36</v>
          </cell>
        </row>
        <row r="1946">
          <cell r="A1946" t="str">
            <v>Дизельная электростанция 100 кВт гос.№ 400083</v>
          </cell>
          <cell r="B1946" t="str">
            <v>МО-36</v>
          </cell>
        </row>
        <row r="1947">
          <cell r="A1947" t="str">
            <v>Дизельная электростанция 100 кВт гос.№ 400084</v>
          </cell>
          <cell r="B1947" t="str">
            <v>МО-36</v>
          </cell>
        </row>
        <row r="1948">
          <cell r="A1948" t="str">
            <v>Дизель-генератор SDMO Montana J130 9154(4084) гос.№ 4084</v>
          </cell>
          <cell r="B1948" t="str">
            <v>МО-36</v>
          </cell>
        </row>
        <row r="1949">
          <cell r="A1949" t="str">
            <v>Полуприцеп МАЗ 975800-046 гос.№ 4174АО86</v>
          </cell>
          <cell r="B1949" t="str">
            <v>МО-36</v>
          </cell>
        </row>
        <row r="1950">
          <cell r="A1950" t="str">
            <v>Вибропогружатель MULLER MS-28 HFV 2020№ 8550-4191 гос.№ 4191</v>
          </cell>
          <cell r="B1950" t="str">
            <v>МО-36</v>
          </cell>
        </row>
        <row r="1951">
          <cell r="A1951" t="str">
            <v>Вибропогружатель MULLER MS-50 H3 2020 4198 гос.№ 4198</v>
          </cell>
          <cell r="B1951" t="str">
            <v>МО-36</v>
          </cell>
        </row>
        <row r="1952">
          <cell r="A1952" t="str">
            <v>Полуприцеп-тяжеловоз ЧМЗАП 99065-038-БТК1 гос.№ 4216ВА89</v>
          </cell>
          <cell r="B1952" t="str">
            <v>МО-36</v>
          </cell>
        </row>
        <row r="1953">
          <cell r="A1953" t="str">
            <v>Дизельная генераторная установка SDMO R110 гос.№ 4246</v>
          </cell>
          <cell r="B1953" t="str">
            <v>МО-36</v>
          </cell>
        </row>
        <row r="1954">
          <cell r="A1954" t="str">
            <v>Полуприцеп тяжеловоз 9942L6 гос.№ 4249АХ72</v>
          </cell>
          <cell r="B1954" t="str">
            <v>МО-36</v>
          </cell>
        </row>
        <row r="1955">
          <cell r="A1955" t="str">
            <v>Кран гусеничный IHI CCH-700 гос.№ 4279ТВ86</v>
          </cell>
          <cell r="B1955" t="str">
            <v>МО-36</v>
          </cell>
        </row>
        <row r="1956">
          <cell r="A1956" t="str">
            <v>Минипогрузчик New Holland гос.№ 4457АО72</v>
          </cell>
          <cell r="B1956" t="str">
            <v>МО-36</v>
          </cell>
        </row>
        <row r="1957">
          <cell r="A1957" t="str">
            <v>Экскаватор гусеничный Hyundai R320LC-7 гос.№ 4458ОА72</v>
          </cell>
          <cell r="B1957" t="str">
            <v>МО-36</v>
          </cell>
        </row>
        <row r="1958">
          <cell r="A1958" t="str">
            <v>Экскаватор гусеничный Hyndai R320LC-7 гос.№ 4460ТА72</v>
          </cell>
          <cell r="B1958" t="str">
            <v>МО-36</v>
          </cell>
        </row>
        <row r="1959">
          <cell r="A1959" t="str">
            <v>Бетононасос SCORPION CP-25.318 гос.№ 4632ТК72</v>
          </cell>
          <cell r="B1959" t="str">
            <v>МО-36</v>
          </cell>
        </row>
        <row r="1960">
          <cell r="A1960" t="str">
            <v>Погрузчик универсальный Bobcat S175 гос.№ 4668ТХ72</v>
          </cell>
          <cell r="B1960" t="str">
            <v>МО-36</v>
          </cell>
        </row>
        <row r="1961">
          <cell r="A1961" t="str">
            <v>Экскаватор Komatsu РС300-8MO гос.№ 4682ТО72</v>
          </cell>
          <cell r="B1961" t="str">
            <v>МО-36</v>
          </cell>
        </row>
        <row r="1962">
          <cell r="A1962" t="str">
            <v>Экскаватор Komatsu РС300-8MO гос.№ 4683ТО72</v>
          </cell>
          <cell r="B1962" t="str">
            <v>МО-36</v>
          </cell>
        </row>
        <row r="1963">
          <cell r="A1963" t="str">
            <v>Вибропогружатель РТС65HD гос.№ 47957</v>
          </cell>
          <cell r="B1963" t="str">
            <v>МО-36</v>
          </cell>
        </row>
        <row r="1964">
          <cell r="A1964" t="str">
            <v>Кран железнодорожный КЖ-562 № 48 гос.№ 48</v>
          </cell>
          <cell r="B1964" t="str">
            <v>МО-36</v>
          </cell>
        </row>
        <row r="1965">
          <cell r="A1965" t="str">
            <v>Вибропогружатель РТС65HD гос.№ 48053</v>
          </cell>
          <cell r="B1965" t="str">
            <v>МО-36</v>
          </cell>
        </row>
        <row r="1966">
          <cell r="A1966" t="str">
            <v>Экскаватор гусеничный Hyndai R210LC-7 гос.№ 4817АО72</v>
          </cell>
          <cell r="B1966" t="str">
            <v>МО-36</v>
          </cell>
        </row>
        <row r="1967">
          <cell r="A1967" t="str">
            <v>Погрузчик Hyundai HL730-9S гос.№ 4843ОА72</v>
          </cell>
          <cell r="B1967" t="str">
            <v>МО-36</v>
          </cell>
        </row>
        <row r="1968">
          <cell r="A1968" t="str">
            <v>Компрессор Airman PDS-400SC гос.№ 50222</v>
          </cell>
          <cell r="B1968" t="str">
            <v>МО-36</v>
          </cell>
        </row>
        <row r="1969">
          <cell r="A1969" t="str">
            <v>Компрессор Airman PDS-400SC гос.№ 50241</v>
          </cell>
          <cell r="B1969" t="str">
            <v>МО-36</v>
          </cell>
        </row>
        <row r="1970">
          <cell r="A1970" t="str">
            <v>Компрессор Airman PDS-400SC гос.№ 50243</v>
          </cell>
          <cell r="B1970" t="str">
            <v>МО-36</v>
          </cell>
        </row>
        <row r="1971">
          <cell r="A1971" t="str">
            <v>Компрессор Airman PDS-400SC гос.№ 50246</v>
          </cell>
          <cell r="B1971" t="str">
            <v>МО-36</v>
          </cell>
        </row>
        <row r="1972">
          <cell r="A1972" t="str">
            <v>Компрессор Airman PDS-400SC гос.№ 50453</v>
          </cell>
          <cell r="B1972" t="str">
            <v>МО-36</v>
          </cell>
        </row>
        <row r="1973">
          <cell r="A1973" t="str">
            <v>Компрессор Airman PDS-400SC гос.№ 50513</v>
          </cell>
          <cell r="B1973" t="str">
            <v>МО-36</v>
          </cell>
        </row>
        <row r="1974">
          <cell r="A1974" t="str">
            <v>Компрессор Airman PDS-400SC гос.№ 50514</v>
          </cell>
          <cell r="B1974" t="str">
            <v>МО-36</v>
          </cell>
        </row>
        <row r="1975">
          <cell r="A1975" t="str">
            <v>Электростанция Airman SDG-1005S гос.№ 52265</v>
          </cell>
          <cell r="B1975" t="str">
            <v>МО-36</v>
          </cell>
        </row>
        <row r="1976">
          <cell r="A1976" t="str">
            <v>Электростанция Airman SDG-1005S гос.№ 52274</v>
          </cell>
          <cell r="B1976" t="str">
            <v>МО-36</v>
          </cell>
        </row>
        <row r="1977">
          <cell r="A1977" t="str">
            <v>Полуприцеп СЗАП-93282/030 гос.№ 5282АТ72</v>
          </cell>
          <cell r="B1977" t="str">
            <v>МО-36</v>
          </cell>
        </row>
        <row r="1978">
          <cell r="A1978" t="str">
            <v>Бульдозер Liebherr PR 734 L GP гос.№ 5351ОА72</v>
          </cell>
          <cell r="B1978" t="str">
            <v>МО-36</v>
          </cell>
        </row>
        <row r="1979">
          <cell r="A1979" t="str">
            <v>Экскаватор Liebherr R926 LC гос.№ 5354ОА72</v>
          </cell>
          <cell r="B1979" t="str">
            <v>МО-36</v>
          </cell>
        </row>
        <row r="1980">
          <cell r="A1980" t="str">
            <v>Машина буровая Bauer BG-30 гос.№ 5360ОВ72</v>
          </cell>
          <cell r="B1980" t="str">
            <v>МО-36</v>
          </cell>
        </row>
        <row r="1981">
          <cell r="A1981" t="str">
            <v>Экскаватор Hitachi ZX-160W продан гос.№ 5378ТА72</v>
          </cell>
          <cell r="B1981" t="str">
            <v>МО-36</v>
          </cell>
        </row>
        <row r="1982">
          <cell r="A1982" t="str">
            <v>Погрузчик Hyundai HL740-7 гос.№ 5515ТУ72</v>
          </cell>
          <cell r="B1982" t="str">
            <v>МО-36</v>
          </cell>
        </row>
        <row r="1983">
          <cell r="A1983" t="str">
            <v>Кран гусеничный IHI CCH-700 гос.№ 5516ТУ72</v>
          </cell>
          <cell r="B1983" t="str">
            <v>МО-36</v>
          </cell>
        </row>
        <row r="1984">
          <cell r="A1984" t="str">
            <v>Дизель-генератор SDMO Montana J130 гос.№ 5581</v>
          </cell>
          <cell r="B1984" t="str">
            <v>МО-36</v>
          </cell>
        </row>
        <row r="1985">
          <cell r="A1985" t="str">
            <v>Буровой станок Klemm KR806-3D 72ТА5620 гос.№ 5620ТА</v>
          </cell>
          <cell r="B1985" t="str">
            <v>МО-36</v>
          </cell>
        </row>
        <row r="1986">
          <cell r="A1986" t="str">
            <v>Полуприцеп ЧМЗАП 99904 гос.№ 5839АО86</v>
          </cell>
          <cell r="B1986" t="str">
            <v>МО-36</v>
          </cell>
        </row>
        <row r="1987">
          <cell r="A1987" t="str">
            <v>Электростанция Airman SDG-150S гос.№ 5894</v>
          </cell>
          <cell r="B1987" t="str">
            <v>МО-36</v>
          </cell>
        </row>
        <row r="1988">
          <cell r="A1988" t="str">
            <v>Электростанция Airman SDG-150S гос.№ 5895</v>
          </cell>
          <cell r="B1988" t="str">
            <v>МО-36</v>
          </cell>
        </row>
        <row r="1989">
          <cell r="A1989" t="str">
            <v>Электростанция Airman SDG-500S гос.№ 5896</v>
          </cell>
          <cell r="B1989" t="str">
            <v>МО-36</v>
          </cell>
        </row>
        <row r="1990">
          <cell r="A1990" t="str">
            <v>Полуприцеп МАЗ 975800-044 гос.№ 5940АО86</v>
          </cell>
          <cell r="B1990" t="str">
            <v>МО-36</v>
          </cell>
        </row>
        <row r="1991">
          <cell r="A1991" t="str">
            <v>Экскаватор Liebherr R934 C LC гос.№ 6029ОА72</v>
          </cell>
          <cell r="B1991" t="str">
            <v>МО-36</v>
          </cell>
        </row>
        <row r="1992">
          <cell r="A1992" t="str">
            <v>Машина буровая Bauer BG-28 гос.№ 6029ТР72</v>
          </cell>
          <cell r="B1992" t="str">
            <v>МО-36</v>
          </cell>
        </row>
        <row r="1993">
          <cell r="A1993" t="str">
            <v>Электростанция Airman SDG-25S гос.№ 6176</v>
          </cell>
          <cell r="B1993" t="str">
            <v>МО-36</v>
          </cell>
        </row>
        <row r="1994">
          <cell r="A1994" t="str">
            <v>Дизель-генератор AIRMAN 150 гос.№ 61908</v>
          </cell>
          <cell r="B1994" t="str">
            <v>МО-36</v>
          </cell>
        </row>
        <row r="1995">
          <cell r="A1995" t="str">
            <v>Дизель-генератор AIRMAN 150 гос.№ 61956</v>
          </cell>
          <cell r="B1995" t="str">
            <v>МО-36</v>
          </cell>
        </row>
        <row r="1996">
          <cell r="A1996" t="str">
            <v>Автопогрузчик Yale GP25RK гос.№ 6208ТА72</v>
          </cell>
          <cell r="B1996" t="str">
            <v>МО-36</v>
          </cell>
        </row>
        <row r="1997">
          <cell r="A1997" t="str">
            <v>Электростанция Airman SDG-1505S гос.№ 62552</v>
          </cell>
          <cell r="B1997" t="str">
            <v>МО-36</v>
          </cell>
        </row>
        <row r="1998">
          <cell r="A1998" t="str">
            <v>Электростанция Airman SDG-150S гос.№ 62553</v>
          </cell>
          <cell r="B1998" t="str">
            <v>МО-36</v>
          </cell>
        </row>
        <row r="1999">
          <cell r="A1999" t="str">
            <v>Электростанция Airman SDG-150S гос.№ 62555</v>
          </cell>
          <cell r="B1999" t="str">
            <v>МО-36</v>
          </cell>
        </row>
        <row r="2000">
          <cell r="A2000" t="str">
            <v>Вибропогружатель PTС 65HDSL №6 28571 гос.№ 628571</v>
          </cell>
          <cell r="B2000" t="str">
            <v>МО-36</v>
          </cell>
        </row>
        <row r="2001">
          <cell r="A2001" t="str">
            <v>Машина буровая Bauer BG-28 гос.№ 6330ТУ72</v>
          </cell>
          <cell r="B2001" t="str">
            <v>МО-36</v>
          </cell>
        </row>
        <row r="2002">
          <cell r="A2002" t="str">
            <v>Компрессор Airman PDS-390S гос.№ 635</v>
          </cell>
          <cell r="B2002" t="str">
            <v>МО-36</v>
          </cell>
        </row>
        <row r="2003">
          <cell r="A2003" t="str">
            <v>Бульдозер гусеничный Caterpillar D6R гос.№ 6429ОА72</v>
          </cell>
          <cell r="B2003" t="str">
            <v>МО-36</v>
          </cell>
        </row>
        <row r="2004">
          <cell r="A2004" t="str">
            <v>Экскаватор гусеничный Hyndai R140LC-7 продан гос.№ 6430ОА72</v>
          </cell>
          <cell r="B2004" t="str">
            <v>МО-36</v>
          </cell>
        </row>
        <row r="2005">
          <cell r="A2005" t="str">
            <v>Сваебойный комплекс IHC Hydrohammer S-90 гос.№ 6446</v>
          </cell>
          <cell r="B2005" t="str">
            <v>МО-36</v>
          </cell>
        </row>
        <row r="2006">
          <cell r="A2006" t="str">
            <v>Кран гусеничный KOBELCO CKS2500 гос.№ 6460ОВ72</v>
          </cell>
          <cell r="B2006" t="str">
            <v>МО-36</v>
          </cell>
        </row>
        <row r="2007">
          <cell r="A2007" t="str">
            <v>Дизель-генератор SDMO Montana J130 гос.№ 653</v>
          </cell>
          <cell r="B2007" t="str">
            <v>МО-36</v>
          </cell>
        </row>
        <row r="2008">
          <cell r="A2008" t="str">
            <v>Вибропогружатель PTС 30H2L №1 гос.№ 6622</v>
          </cell>
          <cell r="B2008" t="str">
            <v>МО-36</v>
          </cell>
        </row>
        <row r="2009">
          <cell r="A2009" t="str">
            <v>Полуприцеп СЗАП-93282/030 6742ат72 гос.№ 6742АТ72</v>
          </cell>
          <cell r="B2009" t="str">
            <v>МО-36</v>
          </cell>
        </row>
        <row r="2010">
          <cell r="A2010" t="str">
            <v>Машина буровая Bauer BG-24 гос.№ 6763ТУ72</v>
          </cell>
          <cell r="B2010" t="str">
            <v>МО-36</v>
          </cell>
        </row>
        <row r="2011">
          <cell r="A2011" t="str">
            <v>Машина буровая Bauer BG-28 гос.№ 6764ТУ72</v>
          </cell>
          <cell r="B2011" t="str">
            <v>МО-36</v>
          </cell>
        </row>
        <row r="2012">
          <cell r="A2012" t="str">
            <v>Машина буровая Bauer MBG-10 гос.№ 6765ТУ72</v>
          </cell>
          <cell r="B2012" t="str">
            <v>МО-36</v>
          </cell>
        </row>
        <row r="2013">
          <cell r="A2013" t="str">
            <v>Кран гусеничный Liebherr LTR-1100 гос.№ 6773ТА72</v>
          </cell>
          <cell r="B2013" t="str">
            <v>МО-36</v>
          </cell>
        </row>
        <row r="2014">
          <cell r="A2014" t="str">
            <v>Экскаватор Liebherr A904C Litronic гос.№ 6972</v>
          </cell>
          <cell r="B2014" t="str">
            <v>МО-36</v>
          </cell>
        </row>
        <row r="2015">
          <cell r="A2015" t="str">
            <v>Экскаватор Liebherr A904C Litronic гос.№ 6976</v>
          </cell>
          <cell r="B2015" t="str">
            <v>МО-36</v>
          </cell>
        </row>
        <row r="2016">
          <cell r="A2016" t="str">
            <v>Машина буровая Bauer BG-30 гос.№ 7016ТА72</v>
          </cell>
          <cell r="B2016" t="str">
            <v>МО-36</v>
          </cell>
        </row>
        <row r="2017">
          <cell r="A2017" t="str">
            <v>Полуприцеп ТСП-94171-0000020 гос.№ 7018АО86</v>
          </cell>
          <cell r="B2017" t="str">
            <v>МО-36</v>
          </cell>
        </row>
        <row r="2018">
          <cell r="A2018" t="str">
            <v>Кран гусеничный Hitachi Sumitomo гос.№ 7062ОВ72</v>
          </cell>
          <cell r="B2018" t="str">
            <v>МО-36</v>
          </cell>
        </row>
        <row r="2019">
          <cell r="A2019" t="str">
            <v>Дизель-генератор SDMO Montana J130 инв. 3898 гос.№ 7196</v>
          </cell>
          <cell r="B2019" t="str">
            <v>МО-36</v>
          </cell>
        </row>
        <row r="2020">
          <cell r="A2020" t="str">
            <v>Погрузчик Volvo MC115C гос.№ 7225ОВ72</v>
          </cell>
          <cell r="B2020" t="str">
            <v>МО-36</v>
          </cell>
        </row>
        <row r="2021">
          <cell r="A2021" t="str">
            <v>Экскаватор Volvo EC290BLC PRIME гос.№ 7258ТК72</v>
          </cell>
          <cell r="B2021" t="str">
            <v>МО-36</v>
          </cell>
        </row>
        <row r="2022">
          <cell r="A2022" t="str">
            <v>Погрузчик Doosan DISD SD200 гос.№ 7510ОВ72</v>
          </cell>
          <cell r="B2022" t="str">
            <v>МО-36</v>
          </cell>
        </row>
        <row r="2023">
          <cell r="A2023" t="str">
            <v>Бульдозер New Holland D-180 гос.№ 7580ТК72</v>
          </cell>
          <cell r="B2023" t="str">
            <v>МО-36</v>
          </cell>
        </row>
        <row r="2024">
          <cell r="A2024" t="str">
            <v>Экскаватор-погрузчик CASE 695ST гос.№ 7649ОА72</v>
          </cell>
          <cell r="B2024" t="str">
            <v>МО-36</v>
          </cell>
        </row>
        <row r="2025">
          <cell r="A2025" t="str">
            <v>Компрессор XATS 156 гос.№ 7761</v>
          </cell>
          <cell r="B2025" t="str">
            <v>МО-36</v>
          </cell>
        </row>
        <row r="2026">
          <cell r="A2026" t="str">
            <v>Кран гусеничный IHI CCH-700 гос.№ 7812ОА72</v>
          </cell>
          <cell r="B2026" t="str">
            <v>МО-36</v>
          </cell>
        </row>
        <row r="2027">
          <cell r="A2027" t="str">
            <v>Дизель-генератор SDMO Montana J130 7863 инв. 3452 гос.№ 7863</v>
          </cell>
          <cell r="B2027" t="str">
            <v>МО-36</v>
          </cell>
        </row>
        <row r="2028">
          <cell r="A2028" t="str">
            <v>Трактор МТЗ-82-1 гос.№ 7920ТН72</v>
          </cell>
          <cell r="B2028" t="str">
            <v>МО-36</v>
          </cell>
        </row>
        <row r="2029">
          <cell r="A2029" t="str">
            <v>Кран пневмоколёсный Grove RT650E гос.№ 8028ОА72</v>
          </cell>
          <cell r="B2029" t="str">
            <v>МО-36</v>
          </cell>
        </row>
        <row r="2030">
          <cell r="A2030" t="str">
            <v>Кран пневмоколёсный Grove RT650E гос.№ 8029ОА72</v>
          </cell>
          <cell r="B2030" t="str">
            <v>МО-36</v>
          </cell>
        </row>
        <row r="2031">
          <cell r="A2031" t="str">
            <v>Машина буровая Bauer MBG-12 гос.№ 8077ТУ72</v>
          </cell>
          <cell r="B2031" t="str">
            <v>МО-36</v>
          </cell>
        </row>
        <row r="2032">
          <cell r="A2032" t="str">
            <v>Электростанция Airman SDG-25S гос.№ 80969</v>
          </cell>
          <cell r="B2032" t="str">
            <v>МО-36</v>
          </cell>
        </row>
        <row r="2033">
          <cell r="A2033" t="str">
            <v>Кран гусеничный Hitachi Sumitomo SCX1000A-3 гос.№ 8099ОА72</v>
          </cell>
          <cell r="B2033" t="str">
            <v>МО-36</v>
          </cell>
        </row>
        <row r="2034">
          <cell r="A2034" t="str">
            <v>Электростанция Airman SDG-25S гос.№ 81005</v>
          </cell>
          <cell r="B2034" t="str">
            <v>МО-36</v>
          </cell>
        </row>
        <row r="2035">
          <cell r="A2035" t="str">
            <v>Электростанция Airman SDG-25S гос.№ 81006</v>
          </cell>
          <cell r="B2035" t="str">
            <v>МО-36</v>
          </cell>
        </row>
        <row r="2036">
          <cell r="A2036" t="str">
            <v>Электростанция Airman SDG-25S гос.№ 81051</v>
          </cell>
          <cell r="B2036" t="str">
            <v>МО-36</v>
          </cell>
        </row>
        <row r="2037">
          <cell r="A2037" t="str">
            <v>Электростанция Airman SDG-25S гос.№ 81052</v>
          </cell>
          <cell r="B2037" t="str">
            <v>МО-36</v>
          </cell>
        </row>
        <row r="2038">
          <cell r="A2038" t="str">
            <v>Электростанция Airman SDG-45S гос.№ 81229</v>
          </cell>
          <cell r="B2038" t="str">
            <v>МО-36</v>
          </cell>
        </row>
        <row r="2039">
          <cell r="A2039" t="str">
            <v>Экскаватор колесный Hyundai R170W-7 гос.№ 8203ОВ72</v>
          </cell>
          <cell r="B2039" t="str">
            <v>МО-36</v>
          </cell>
        </row>
        <row r="2040">
          <cell r="A2040" t="str">
            <v>Кран гусеничный Sennebogen 5500R гос.№ 8264ОВ72</v>
          </cell>
          <cell r="B2040" t="str">
            <v>МО-36</v>
          </cell>
        </row>
        <row r="2041">
          <cell r="A2041" t="str">
            <v>Бульдозер Komatsu D65E-21 гос.№ 8436ТС72</v>
          </cell>
          <cell r="B2041" t="str">
            <v>МО-36</v>
          </cell>
        </row>
        <row r="2042">
          <cell r="A2042" t="str">
            <v>Полуприцеп ТСП-94184-0000010 гос.№ 8469АХ72</v>
          </cell>
          <cell r="B2042" t="str">
            <v>МО-36</v>
          </cell>
        </row>
        <row r="2043">
          <cell r="A2043" t="str">
            <v>Экскаватор Komatsu WB93S-5 гос.№ 8496ТК72</v>
          </cell>
          <cell r="B2043" t="str">
            <v>МО-36</v>
          </cell>
        </row>
        <row r="2044">
          <cell r="A2044" t="str">
            <v>Емкость Казань гос.№ 8500</v>
          </cell>
          <cell r="B2044" t="str">
            <v>МО-36</v>
          </cell>
        </row>
        <row r="2045">
          <cell r="A2045" t="str">
            <v>Экскаватор Liebherr R916 гос.№ 8526ОВ72</v>
          </cell>
          <cell r="B2045" t="str">
            <v>МО-36</v>
          </cell>
        </row>
        <row r="2046">
          <cell r="A2046" t="str">
            <v>Бульдозер Liebherr PR 734 L гос.№ 8527ОВ72</v>
          </cell>
          <cell r="B2046" t="str">
            <v>МО-36</v>
          </cell>
        </row>
        <row r="2047">
          <cell r="A2047" t="str">
            <v>Экскаватор Liebherr R916 гос.№ 8528ОВ72</v>
          </cell>
          <cell r="B2047" t="str">
            <v>МО-36</v>
          </cell>
        </row>
        <row r="2048">
          <cell r="A2048" t="str">
            <v>Бульдозер Liebherr PR 734 L гос.№ 8529ОВ72</v>
          </cell>
          <cell r="B2048" t="str">
            <v>МО-36</v>
          </cell>
        </row>
        <row r="2049">
          <cell r="A2049" t="str">
            <v>Экскаватор Liebherr R922 LC гос.№ 8551ОВ72</v>
          </cell>
          <cell r="B2049" t="str">
            <v>МО-36</v>
          </cell>
        </row>
        <row r="2050">
          <cell r="A2050" t="str">
            <v>Бульдозер Komatsu D65E-12 гос.№ 8593ОВ72</v>
          </cell>
          <cell r="B2050" t="str">
            <v>МО-36</v>
          </cell>
        </row>
        <row r="2051">
          <cell r="A2051" t="str">
            <v>Полуприцеп НефАЗ 93341 гос.№ 8651АХ72</v>
          </cell>
          <cell r="B2051" t="str">
            <v>МО-36</v>
          </cell>
        </row>
        <row r="2052">
          <cell r="A2052" t="str">
            <v>Экскаватор Liebherr R930 гос.№ 8758ОВ72</v>
          </cell>
          <cell r="B2052" t="str">
            <v>МО-36</v>
          </cell>
        </row>
        <row r="2053">
          <cell r="A2053" t="str">
            <v>Экскаватор-погрузчик Case 580T гос.№ 8761ОВ72</v>
          </cell>
          <cell r="B2053" t="str">
            <v>МО-36</v>
          </cell>
        </row>
        <row r="2054">
          <cell r="A2054" t="str">
            <v>Установка сваебойная Junttan PM25-HD гос.№ 8834ОВ72</v>
          </cell>
          <cell r="B2054" t="str">
            <v>МО-36</v>
          </cell>
        </row>
        <row r="2055">
          <cell r="A2055" t="str">
            <v>LOCUST L903 гос.№ 8843ОВ72</v>
          </cell>
          <cell r="B2055" t="str">
            <v>МО-36</v>
          </cell>
        </row>
        <row r="2056">
          <cell r="A2056" t="str">
            <v>Минипогрузчик LOCUST L1203 гос.№ 8845ОВ72</v>
          </cell>
          <cell r="B2056" t="str">
            <v>МО-36</v>
          </cell>
        </row>
        <row r="2057">
          <cell r="A2057" t="str">
            <v>Машина буровая Bauer BG-28 гос.№ 8868ТУ72</v>
          </cell>
          <cell r="B2057" t="str">
            <v>МО-36</v>
          </cell>
        </row>
        <row r="2058">
          <cell r="A2058" t="str">
            <v>Кран стреловой самоходный Grove RT540E гос.№ 8936ТХ72</v>
          </cell>
          <cell r="B2058" t="str">
            <v>МО-36</v>
          </cell>
        </row>
        <row r="2059">
          <cell r="A2059" t="str">
            <v>Бетоносмесительная установка самоходная Scout 3500 гос.№ 8938ОА72</v>
          </cell>
          <cell r="B2059" t="str">
            <v>МО-36</v>
          </cell>
        </row>
        <row r="2060">
          <cell r="A2060" t="str">
            <v>Экскаватор Liebherr R934 C LC гос.№ 8940ОА72</v>
          </cell>
          <cell r="B2060" t="str">
            <v>МО-36</v>
          </cell>
        </row>
        <row r="2061">
          <cell r="A2061" t="str">
            <v>Экскаватор гусеничный Caterpillar 320DL гос.№ 8961ОА72</v>
          </cell>
          <cell r="B2061" t="str">
            <v>МО-36</v>
          </cell>
        </row>
        <row r="2062">
          <cell r="A2062" t="str">
            <v>Экскаватор Liebherr R934 C LC гос.№ 8989ОА72</v>
          </cell>
          <cell r="B2062" t="str">
            <v>МО-36</v>
          </cell>
        </row>
        <row r="2063">
          <cell r="A2063" t="str">
            <v>Экскаватор гусеничный Caterpillar 329DL гос.№ 9088ОА72</v>
          </cell>
          <cell r="B2063" t="str">
            <v>МО-36</v>
          </cell>
        </row>
        <row r="2064">
          <cell r="A2064" t="str">
            <v>Кран гусеничный Liebherr LTR-1100 гос.№ 9256ТК72</v>
          </cell>
          <cell r="B2064" t="str">
            <v>МО-36</v>
          </cell>
        </row>
        <row r="2065">
          <cell r="A2065" t="str">
            <v>Полуприцеп ТСП-94171-0000010 с раздв.кониками гос.№ 9267АТ72</v>
          </cell>
          <cell r="B2065" t="str">
            <v>МО-36</v>
          </cell>
        </row>
        <row r="2066">
          <cell r="A2066" t="str">
            <v>Полуприцеп ТСП-9418-0000020 гос.№ 9268АТ72</v>
          </cell>
          <cell r="B2066" t="str">
            <v>МО-36</v>
          </cell>
        </row>
        <row r="2067">
          <cell r="A2067" t="str">
            <v>Полуприцеп ТСП-94171-0000010 с раздв.кониками гос.№ 9269ВТ72</v>
          </cell>
          <cell r="B2067" t="str">
            <v>МО-36</v>
          </cell>
        </row>
        <row r="2068">
          <cell r="A2068" t="str">
            <v>Установка сваебойная Bauer MC-32 гос.№ 9354ТХ72</v>
          </cell>
          <cell r="B2068" t="str">
            <v>МО-36</v>
          </cell>
        </row>
        <row r="2069">
          <cell r="A2069" t="str">
            <v>Дизель-генератор SDMO Montana J44 9406 гос.№ 9406</v>
          </cell>
          <cell r="B2069" t="str">
            <v>МО-36</v>
          </cell>
        </row>
        <row r="2070">
          <cell r="A2070" t="str">
            <v>Полуприцеп НефАЗ 96742 (Цистерна) гос.№ 9679</v>
          </cell>
          <cell r="B2070" t="str">
            <v>МО-36</v>
          </cell>
        </row>
        <row r="2071">
          <cell r="A2071" t="str">
            <v>Погрузчик Volvo L60F гос.№ 9776ТК72</v>
          </cell>
          <cell r="B2071" t="str">
            <v>МО-36</v>
          </cell>
        </row>
        <row r="2072">
          <cell r="A2072" t="str">
            <v>Компрессорная станция КВ 10/10 с ПЖД гос.№ 995</v>
          </cell>
          <cell r="B2072" t="str">
            <v>МО-36</v>
          </cell>
        </row>
        <row r="2073">
          <cell r="A2073" t="str">
            <v>Кран стреловой самоходный Grove RT650E гос.№ 9954ТХ72</v>
          </cell>
          <cell r="B2073" t="str">
            <v>МО-36</v>
          </cell>
        </row>
        <row r="2074">
          <cell r="A2074" t="str">
            <v>Полуприцеп 9438-0000010 гос.№ 9965АР86</v>
          </cell>
          <cell r="B2074" t="str">
            <v>МО-36</v>
          </cell>
        </row>
        <row r="2075">
          <cell r="A2075" t="str">
            <v>УАЗ 390945 гос.№ А024РК89</v>
          </cell>
          <cell r="B2075" t="str">
            <v>МО-87</v>
          </cell>
        </row>
        <row r="2076">
          <cell r="A2076" t="str">
            <v>Автокран КС-3577-3 на шасси МАЗ 5337-6912 гос.№ А032УА72</v>
          </cell>
          <cell r="B2076" t="str">
            <v>МО-87</v>
          </cell>
        </row>
        <row r="2077">
          <cell r="A2077" t="str">
            <v>Автокран МКТ-25.2 на шасси КамАЗ-53228 гос.№ А186СТ72</v>
          </cell>
          <cell r="B2077" t="str">
            <v>МО-87</v>
          </cell>
        </row>
        <row r="2078">
          <cell r="A2078" t="str">
            <v>Автобус 222709 гос.№ А212ТЕ89</v>
          </cell>
          <cell r="B2078" t="str">
            <v>МО-87</v>
          </cell>
        </row>
        <row r="2079">
          <cell r="A2079" t="str">
            <v>Автобус КАвЗ 4238-41 гос.№ А252НМ89</v>
          </cell>
          <cell r="B2079" t="str">
            <v>МО-87</v>
          </cell>
        </row>
        <row r="2080">
          <cell r="A2080" t="str">
            <v>Toyota Highlander (АИ-92) гос.№ А325УК89</v>
          </cell>
          <cell r="B2080" t="str">
            <v>МО-87</v>
          </cell>
        </row>
        <row r="2081">
          <cell r="A2081" t="str">
            <v>А/бетоносмес. АБС-5 на шасси КамАЗ 55111 гос.№ А522НН72</v>
          </cell>
          <cell r="B2081" t="str">
            <v>МО-87</v>
          </cell>
        </row>
        <row r="2082">
          <cell r="A2082" t="str">
            <v>Самосвал ЗИЛ 450850 гос.№ В092МС72</v>
          </cell>
          <cell r="B2082" t="str">
            <v>МО-87</v>
          </cell>
        </row>
        <row r="2083">
          <cell r="A2083" t="str">
            <v>ГАЗ 3102 2.3 гос.№ В097НМ72</v>
          </cell>
          <cell r="B2083" t="str">
            <v>МО-87</v>
          </cell>
        </row>
        <row r="2084">
          <cell r="A2084" t="str">
            <v>А/бетоносмес. АБС-5 на шасси КамАЗ 55111 гос.№ В231СО72</v>
          </cell>
          <cell r="B2084" t="str">
            <v>МО-87</v>
          </cell>
        </row>
        <row r="2085">
          <cell r="A2085" t="str">
            <v>С/тягач КамАЗ 44108-24 гос.№ В458СО89</v>
          </cell>
          <cell r="B2085" t="str">
            <v>МО-87</v>
          </cell>
        </row>
        <row r="2086">
          <cell r="A2086" t="str">
            <v>Автокран КС-45717-1 на шасси Урал 4320 гос.№ В610СО89</v>
          </cell>
          <cell r="B2086" t="str">
            <v>МО-87</v>
          </cell>
        </row>
        <row r="2087">
          <cell r="A2087" t="str">
            <v>С/тягач КамАЗ 44108-24 гос.№ В614СО89</v>
          </cell>
          <cell r="B2087" t="str">
            <v>МО-87</v>
          </cell>
        </row>
        <row r="2088">
          <cell r="A2088" t="str">
            <v>С/тягач КамАЗ 54115 гос.№ В763РВ72</v>
          </cell>
          <cell r="B2088" t="str">
            <v>МО-87</v>
          </cell>
        </row>
        <row r="2089">
          <cell r="A2089" t="str">
            <v>Самосвал Tatra Т815-2А гос.№ В884ХС86</v>
          </cell>
          <cell r="B2089" t="str">
            <v>МО-87</v>
          </cell>
        </row>
        <row r="2090">
          <cell r="A2090" t="str">
            <v>Бортовой УАЗ 390944 гос.№ Е194НК72</v>
          </cell>
          <cell r="B2090" t="str">
            <v>МО-87</v>
          </cell>
        </row>
        <row r="2091">
          <cell r="A2091" t="str">
            <v>Автобус ЛиАЗ 525633-01 гос.№ К133КО72</v>
          </cell>
          <cell r="B2091" t="str">
            <v>МО-87</v>
          </cell>
        </row>
        <row r="2092">
          <cell r="A2092" t="str">
            <v>Самосвал КамАЗ 65115 (двиг.КамАЗ-740.11-240) гос.№ К206ХА72</v>
          </cell>
          <cell r="B2092" t="str">
            <v>МО-87</v>
          </cell>
        </row>
        <row r="2093">
          <cell r="A2093" t="str">
            <v>Бортовой КамАЗ 4326-15 гос.№ К215АН186</v>
          </cell>
          <cell r="B2093" t="str">
            <v>МО-87</v>
          </cell>
        </row>
        <row r="2094">
          <cell r="A2094" t="str">
            <v>С/тягач Volvo FM Truck 6х4 гос.№ К392ТЕ72</v>
          </cell>
          <cell r="B2094" t="str">
            <v>МО-87</v>
          </cell>
        </row>
        <row r="2095">
          <cell r="A2095" t="str">
            <v>С/тягач Volvo FM Truck 6х4 гос.№ К398ТЕ72</v>
          </cell>
          <cell r="B2095" t="str">
            <v>МО-87</v>
          </cell>
        </row>
        <row r="2096">
          <cell r="A2096" t="str">
            <v>Mitsubishi Pajero Sport 2.5 гос.№ К441КО72</v>
          </cell>
          <cell r="B2096" t="str">
            <v>МО-87</v>
          </cell>
        </row>
        <row r="2097">
          <cell r="A2097" t="str">
            <v>Автокран Kato NK-750 гос.№ К984ВХ72</v>
          </cell>
          <cell r="B2097" t="str">
            <v>МО-87</v>
          </cell>
        </row>
        <row r="2098">
          <cell r="A2098" t="str">
            <v>Автокран МКТ-25.7 на шасси КамАЗ 43118 гос.№ М028КУ72</v>
          </cell>
          <cell r="B2098" t="str">
            <v>МО-87</v>
          </cell>
        </row>
        <row r="2099">
          <cell r="A2099" t="str">
            <v>С/тягач Volvo FM Truck 6х4 гос.№ М206ЕМ72</v>
          </cell>
          <cell r="B2099" t="str">
            <v>МО-87</v>
          </cell>
        </row>
        <row r="2100">
          <cell r="A2100" t="str">
            <v>Автобус Нефаз-4208-11-13 на ш.КамАЗ 43114 гос.№ М246ЕМ72</v>
          </cell>
          <cell r="B2100" t="str">
            <v>МО-87</v>
          </cell>
        </row>
        <row r="2101">
          <cell r="A2101" t="str">
            <v>- - С/тягач КамАЗ 54115-15 гос.№ М247ЕМ72</v>
          </cell>
          <cell r="B2101" t="str">
            <v>МО-87</v>
          </cell>
        </row>
        <row r="2102">
          <cell r="A2102" t="str">
            <v>Самосвал СААЗ-4545 на шасси ЗиЛ гос.№ М253СЕ72</v>
          </cell>
          <cell r="B2102" t="str">
            <v>МО-87</v>
          </cell>
        </row>
        <row r="2103">
          <cell r="A2103" t="str">
            <v>Автобус КАвЗ 397665 гос.№ М349ВУ89</v>
          </cell>
          <cell r="B2103" t="str">
            <v>МО-87</v>
          </cell>
        </row>
        <row r="2104">
          <cell r="A2104" t="str">
            <v>Автобус КАвЗ 4238-02 гос.№ М841УМ72</v>
          </cell>
          <cell r="B2104" t="str">
            <v>МО-87</v>
          </cell>
        </row>
        <row r="2105">
          <cell r="A2105" t="str">
            <v>А/бетоносмес. АБС-8 на шасси Урал 63685-1110 гос.№ М849РУ72</v>
          </cell>
          <cell r="B2105" t="str">
            <v>МО-87</v>
          </cell>
        </row>
        <row r="2106">
          <cell r="A2106" t="str">
            <v>Автобус КАвЗ 397620 гос.№ М850РУ72</v>
          </cell>
          <cell r="B2106" t="str">
            <v>МО-87</v>
          </cell>
        </row>
        <row r="2107">
          <cell r="A2107" t="str">
            <v>Установка буровая БКМ-317А-01 на ш. ГАЗ 33081 гос.№ М851РУ72</v>
          </cell>
          <cell r="B2107" t="str">
            <v>МО-87</v>
          </cell>
        </row>
        <row r="2108">
          <cell r="A2108" t="str">
            <v>МО-87 А/бетоносмес. 58147D на ш.Камаз 65115-D3 гос.№ М951УМ72</v>
          </cell>
          <cell r="B2108" t="str">
            <v>МО-87</v>
          </cell>
        </row>
        <row r="2109">
          <cell r="A2109" t="str">
            <v>МО-87 А/бетоносмес. 58147D на ш.Камаз 65115-D3 гос.№ М952УМ72</v>
          </cell>
          <cell r="B2109" t="str">
            <v>МО-87</v>
          </cell>
        </row>
        <row r="2110">
          <cell r="A2110" t="str">
            <v>ВАЗ 212140 гос.№ Н341ХУ72</v>
          </cell>
          <cell r="B2110" t="str">
            <v>МО-87</v>
          </cell>
        </row>
        <row r="2111">
          <cell r="A2111" t="str">
            <v>Автоцистерна АКН-10 на шасси Урал 699900 гос.№ Н866ЕА89</v>
          </cell>
          <cell r="B2111" t="str">
            <v>МО-87</v>
          </cell>
        </row>
        <row r="2112">
          <cell r="A2112" t="str">
            <v>С/тягач КамАЗ 44108 гос.№ Н912РК72</v>
          </cell>
          <cell r="B2112" t="str">
            <v>МО-87</v>
          </cell>
        </row>
        <row r="2113">
          <cell r="A2113" t="str">
            <v>С/тягач КамАЗ 44108 гос.№ Н913РК72</v>
          </cell>
          <cell r="B2113" t="str">
            <v>МО-87</v>
          </cell>
        </row>
        <row r="2114">
          <cell r="A2114" t="str">
            <v>УАЗ Патриот 2.7 гос.№ О048НК72</v>
          </cell>
          <cell r="B2114" t="str">
            <v>МО-87</v>
          </cell>
        </row>
        <row r="2115">
          <cell r="A2115" t="str">
            <v>Машина ассенизационная КО-529-11 шасси МАЗ-457043 гос.№ О054ЕУ72</v>
          </cell>
          <cell r="B2115" t="str">
            <v>МО-87</v>
          </cell>
        </row>
        <row r="2116">
          <cell r="A2116" t="str">
            <v>АТЗ 56142-0000010-35 на шасси КАМАЗ-43118-10 гос.№ О089ЕУ72</v>
          </cell>
          <cell r="B2116" t="str">
            <v>МО-87</v>
          </cell>
        </row>
        <row r="2117">
          <cell r="A2117" t="str">
            <v>Установка паропередвижная ППУА-1600на ш.КрАЗ 65101 гос.№ О116ВЕ89</v>
          </cell>
          <cell r="B2117" t="str">
            <v>МО-87</v>
          </cell>
        </row>
        <row r="2118">
          <cell r="A2118" t="str">
            <v>Автоцистерна АЦН-10 на шасси КамАЗ гос.№ О141СЕ89</v>
          </cell>
          <cell r="B2118" t="str">
            <v>МО-87</v>
          </cell>
        </row>
        <row r="2119">
          <cell r="A2119" t="str">
            <v>Бортовой КамАЗ 53228 гос.№ О229СТ72</v>
          </cell>
          <cell r="B2119" t="str">
            <v>МО-87</v>
          </cell>
        </row>
        <row r="2120">
          <cell r="A2120" t="str">
            <v>Бортовой ГАЗ 3309 гос.№ О416НН72</v>
          </cell>
          <cell r="B2120" t="str">
            <v>МО-87</v>
          </cell>
        </row>
        <row r="2121">
          <cell r="A2121" t="str">
            <v>С/тягач Volvo FM Truck 6х4 12.8 гос.№ О459КТ72</v>
          </cell>
          <cell r="B2121" t="str">
            <v>МО-87</v>
          </cell>
        </row>
        <row r="2122">
          <cell r="A2122" t="str">
            <v>С/тягач КрАЗ 6443 гос.№ О471ТО72</v>
          </cell>
          <cell r="B2122" t="str">
            <v>МО-87</v>
          </cell>
        </row>
        <row r="2123">
          <cell r="A2123" t="str">
            <v>Бортовой ГАЗ 3307 гос.№ О475НН72</v>
          </cell>
          <cell r="B2123" t="str">
            <v>МО-87</v>
          </cell>
        </row>
        <row r="2124">
          <cell r="A2124" t="str">
            <v>А/бетоносмес. на шасси КамАЗ-43118 гос.№ О486СЕ89</v>
          </cell>
          <cell r="B2124" t="str">
            <v>МО-87</v>
          </cell>
        </row>
        <row r="2125">
          <cell r="A2125" t="str">
            <v>Автокран КС-55713-5B на шасси КамАЗ 43118 гос.№ О487СЕ89</v>
          </cell>
          <cell r="B2125" t="str">
            <v>МО-87</v>
          </cell>
        </row>
        <row r="2126">
          <cell r="A2126" t="str">
            <v>Hyundai H-1 2.5MT гос.№ О641ХХ72</v>
          </cell>
          <cell r="B2126" t="str">
            <v>МО-87</v>
          </cell>
        </row>
        <row r="2127">
          <cell r="A2127" t="str">
            <v>Бортовой ГАЗ А22R32 гос.№ О795ТВ161</v>
          </cell>
          <cell r="B2127" t="str">
            <v>МО-87</v>
          </cell>
        </row>
        <row r="2128">
          <cell r="A2128" t="str">
            <v>УАЗ Патриот гос.№ О856ХР86</v>
          </cell>
          <cell r="B2128" t="str">
            <v>МО-87</v>
          </cell>
        </row>
        <row r="2129">
          <cell r="A2129" t="str">
            <v>Автокран Liebherr LTM-1040-2.1 гос.№ О942ХЕ72</v>
          </cell>
          <cell r="B2129" t="str">
            <v>МО-87</v>
          </cell>
        </row>
        <row r="2130">
          <cell r="A2130" t="str">
            <v>Автокран КС-55713-4 на шасси КамАЗ 53228С гос.№ О964НВ72</v>
          </cell>
          <cell r="B2130" t="str">
            <v>МО-87</v>
          </cell>
        </row>
        <row r="2131">
          <cell r="A2131" t="str">
            <v>Автокран Liebherr LTM-1040-2.1 гос.№ Р182ЕС72</v>
          </cell>
          <cell r="B2131" t="str">
            <v>МО-87</v>
          </cell>
        </row>
        <row r="2132">
          <cell r="A2132" t="str">
            <v>С/тягач КамАЗ 65221 гос.№ Р184УС86</v>
          </cell>
          <cell r="B2132" t="str">
            <v>МО-87</v>
          </cell>
        </row>
        <row r="2133">
          <cell r="A2133" t="str">
            <v>А/бетоносмес. на шасси КамАЗ-53228 гос.№ Р416РА72</v>
          </cell>
          <cell r="B2133" t="str">
            <v>МО-87</v>
          </cell>
        </row>
        <row r="2134">
          <cell r="A2134" t="str">
            <v>С/тягач Volvo FM Truck 6х4 12.8 гос.№ Р804КМ72</v>
          </cell>
          <cell r="B2134" t="str">
            <v>МО-87</v>
          </cell>
        </row>
        <row r="2135">
          <cell r="A2135" t="str">
            <v>Бортовой ГАЗ 33081 гос.№ Р961РА72</v>
          </cell>
          <cell r="B2135" t="str">
            <v>МО-87</v>
          </cell>
        </row>
        <row r="2136">
          <cell r="A2136" t="str">
            <v>Бортовой ГАЗ А22R32 гос.№ С061МУ72</v>
          </cell>
          <cell r="B2136" t="str">
            <v>МО-87</v>
          </cell>
        </row>
        <row r="2137">
          <cell r="A2137" t="str">
            <v>Toyota Camry 2.4 гос.№ С087КУ72</v>
          </cell>
          <cell r="B2137" t="str">
            <v>МО-87</v>
          </cell>
        </row>
        <row r="2138">
          <cell r="A2138" t="str">
            <v>Автобус 42261D на шасси КамАЗ 43118 гос.№ С225МУ72</v>
          </cell>
          <cell r="B2138" t="str">
            <v>МО-87</v>
          </cell>
        </row>
        <row r="2139">
          <cell r="A2139" t="str">
            <v>Renault Duster гос.№ С305ХХ72</v>
          </cell>
          <cell r="B2139" t="str">
            <v>МО-87</v>
          </cell>
        </row>
        <row r="2140">
          <cell r="A2140" t="str">
            <v>Renault Duster гос.№ С353ХХ72</v>
          </cell>
          <cell r="B2140" t="str">
            <v>МО-87</v>
          </cell>
        </row>
        <row r="2141">
          <cell r="A2141" t="str">
            <v>Автобус FORD TRANSIT гос.№ С407ХР72</v>
          </cell>
          <cell r="B2141" t="str">
            <v>МО-87</v>
          </cell>
        </row>
        <row r="2142">
          <cell r="A2142" t="str">
            <v>С/тягач Scania P420-CA 6х6 EHZ гос.№ С639ТВ86</v>
          </cell>
          <cell r="B2142" t="str">
            <v>МО-87</v>
          </cell>
        </row>
        <row r="2143">
          <cell r="A2143" t="str">
            <v>Автобус КАвЗ 4238-41 гос.№ Т184МА72</v>
          </cell>
          <cell r="B2143" t="str">
            <v>МО-87</v>
          </cell>
        </row>
        <row r="2144">
          <cell r="A2144" t="str">
            <v>Самосвал MAN 9596-03-50 6х6 гос.№ Т219ХА72</v>
          </cell>
          <cell r="B2144" t="str">
            <v>МО-87</v>
          </cell>
        </row>
        <row r="2145">
          <cell r="A2145" t="str">
            <v>Самосвал MAN 9596-03-50 6х6 гос.№ Т220ХА72</v>
          </cell>
          <cell r="B2145" t="str">
            <v>МО-87</v>
          </cell>
        </row>
        <row r="2146">
          <cell r="A2146" t="str">
            <v>Самосвал Урал 583100 гос.№ Т541ВН89</v>
          </cell>
          <cell r="B2146" t="str">
            <v>МО-87</v>
          </cell>
        </row>
        <row r="2147">
          <cell r="A2147" t="str">
            <v>Самосвал Урал 583100 гос.№ Т542ВН89</v>
          </cell>
          <cell r="B2147" t="str">
            <v>МО-87</v>
          </cell>
        </row>
        <row r="2148">
          <cell r="A2148" t="str">
            <v>УАЗ 315192 гос.№ Т546ВВ89</v>
          </cell>
          <cell r="B2148" t="str">
            <v>МО-87</v>
          </cell>
        </row>
        <row r="2149">
          <cell r="A2149" t="str">
            <v>Автобус Урал 32551-0010-41 гос.№ У015ТТ86</v>
          </cell>
          <cell r="B2149" t="str">
            <v>МО-87</v>
          </cell>
        </row>
        <row r="2150">
          <cell r="A2150" t="str">
            <v>А/бетоносмес. Volvo FM Truck 6x4 гос.№ У583МН72</v>
          </cell>
          <cell r="B2150" t="str">
            <v>МО-87</v>
          </cell>
        </row>
        <row r="2151">
          <cell r="A2151" t="str">
            <v>А/бетоносмес. 58141А на ш.Урал 55571 гос.№ Х220ЕР89</v>
          </cell>
          <cell r="B2151" t="str">
            <v>МО-87</v>
          </cell>
        </row>
        <row r="2152">
          <cell r="A2152" t="str">
            <v>Автобус Урал 32551-0010-59 гос.№ Х221ЕР89</v>
          </cell>
          <cell r="B2152" t="str">
            <v>МО-87</v>
          </cell>
        </row>
        <row r="2153">
          <cell r="A2153" t="str">
            <v>Бульдозер гусеничный Caterpillar D6R гос.№ 0023ОА72</v>
          </cell>
          <cell r="B2153" t="str">
            <v>МО-87</v>
          </cell>
        </row>
        <row r="2154">
          <cell r="A2154" t="str">
            <v>Кран гусеничный Hitachi KH-180-3 гос.№ 0024ОА72</v>
          </cell>
          <cell r="B2154" t="str">
            <v>МО-87</v>
          </cell>
        </row>
        <row r="2155">
          <cell r="A2155" t="str">
            <v>Кран гусеничный Hitachi KH-300 гос.№ 0025ОА72</v>
          </cell>
          <cell r="B2155" t="str">
            <v>МО-87</v>
          </cell>
        </row>
        <row r="2156">
          <cell r="A2156" t="str">
            <v>Фронтальный погрузчик Хундай HL-740 гос.№ 0028ОА72</v>
          </cell>
          <cell r="B2156" t="str">
            <v>МО-87</v>
          </cell>
        </row>
        <row r="2157">
          <cell r="A2157" t="str">
            <v>Минипогрузчик Bobcat S530 гос.№ 0059ОА72</v>
          </cell>
          <cell r="B2157" t="str">
            <v>МО-87</v>
          </cell>
        </row>
        <row r="2158">
          <cell r="A2158" t="str">
            <v>Трактор МТЗ-82 гос.№ 0159ТМ72</v>
          </cell>
          <cell r="B2158" t="str">
            <v>МО-87</v>
          </cell>
        </row>
        <row r="2159">
          <cell r="A2159" t="str">
            <v>Дизельная генераторная установка SDMO R66 гос.№ 1063</v>
          </cell>
          <cell r="B2159" t="str">
            <v>МО-87</v>
          </cell>
        </row>
        <row r="2160">
          <cell r="A2160" t="str">
            <v>Электростанция дизельная Denyo DCA-150ES гос.№ 1416</v>
          </cell>
          <cell r="B2160" t="str">
            <v>МО-87</v>
          </cell>
        </row>
        <row r="2161">
          <cell r="A2161" t="str">
            <v>Дизель-генератор SDMO Montana J130 гос.№ 1446</v>
          </cell>
          <cell r="B2161" t="str">
            <v>МО-87</v>
          </cell>
        </row>
        <row r="2162">
          <cell r="A2162" t="str">
            <v>Дизель-генератор SDMO Montana J44 гос.№ 1449</v>
          </cell>
          <cell r="B2162" t="str">
            <v>МО-87</v>
          </cell>
        </row>
        <row r="2163">
          <cell r="A2163" t="str">
            <v>Дизель-генератор SDMO Montana V350 гос.№ 1450</v>
          </cell>
          <cell r="B2163" t="str">
            <v>МО-87</v>
          </cell>
        </row>
        <row r="2164">
          <cell r="A2164" t="str">
            <v>Дизель-генератор SDMO Montana V275 гос.№ 1451</v>
          </cell>
          <cell r="B2164" t="str">
            <v>МО-87</v>
          </cell>
        </row>
        <row r="2165">
          <cell r="A2165" t="str">
            <v>Дизель-генератор SDMO Montana J88 гос.№ 1476</v>
          </cell>
          <cell r="B2165" t="str">
            <v>МО-87</v>
          </cell>
        </row>
        <row r="2166">
          <cell r="A2166" t="str">
            <v>Компрессор Airman PDS-390SC гос.№ 1489</v>
          </cell>
          <cell r="B2166" t="str">
            <v>МО-87</v>
          </cell>
        </row>
        <row r="2167">
          <cell r="A2167" t="str">
            <v>Компрессор Airman PDS-390SC гос.№ 1490</v>
          </cell>
          <cell r="B2167" t="str">
            <v>МО-87</v>
          </cell>
        </row>
        <row r="2168">
          <cell r="A2168" t="str">
            <v>Компрессор Airman PDS-390SC гос.№ 1520</v>
          </cell>
          <cell r="B2168" t="str">
            <v>МО-87</v>
          </cell>
        </row>
        <row r="2169">
          <cell r="A2169" t="str">
            <v>Экскаватор Hitachi ZX-240-3 гос.№ 1611ТР72</v>
          </cell>
          <cell r="B2169" t="str">
            <v>МО-87</v>
          </cell>
        </row>
        <row r="2170">
          <cell r="A2170" t="str">
            <v>Дизель-генератор GenPower гос.№ 167S</v>
          </cell>
          <cell r="B2170" t="str">
            <v>МО-87</v>
          </cell>
        </row>
        <row r="2171">
          <cell r="A2171" t="str">
            <v>Бульдозер Komatsu D65EX-16 гос.№ 1688ТО72</v>
          </cell>
          <cell r="B2171" t="str">
            <v>МО-87</v>
          </cell>
        </row>
        <row r="2172">
          <cell r="A2172" t="str">
            <v>Кран гусеничный Hitachi KH-300 гос.№ 2517ТВ72</v>
          </cell>
          <cell r="B2172" t="str">
            <v>МО-87</v>
          </cell>
        </row>
        <row r="2173">
          <cell r="A2173" t="str">
            <v>Электростанция Airman SDG-150S гос.№ 2559</v>
          </cell>
          <cell r="B2173" t="str">
            <v>МО-87</v>
          </cell>
        </row>
        <row r="2174">
          <cell r="A2174" t="str">
            <v>Электростанция Airman SDG-150S гос.№ 2560</v>
          </cell>
          <cell r="B2174" t="str">
            <v>МО-87</v>
          </cell>
        </row>
        <row r="2175">
          <cell r="A2175" t="str">
            <v>Дизель-генератор AIRMAN SDG60S гос.№ 2587</v>
          </cell>
          <cell r="B2175" t="str">
            <v>МО-87</v>
          </cell>
        </row>
        <row r="2176">
          <cell r="A2176" t="str">
            <v>Дизель-генератор SDMO Montana V350 гос.№ 2792</v>
          </cell>
          <cell r="B2176" t="str">
            <v>МО-87</v>
          </cell>
        </row>
        <row r="2177">
          <cell r="A2177" t="str">
            <v>Электростанция Airman SDG-25S гос.№ 3365</v>
          </cell>
          <cell r="B2177" t="str">
            <v>МО-87</v>
          </cell>
        </row>
        <row r="2178">
          <cell r="A2178" t="str">
            <v>Электростанция Airman SDG-25S гос.№ 3368</v>
          </cell>
          <cell r="B2178" t="str">
            <v>МО-87</v>
          </cell>
        </row>
        <row r="2179">
          <cell r="A2179" t="str">
            <v>Экскаватор Hitachi ZX-230 гос.№ 3388ТС72</v>
          </cell>
          <cell r="B2179" t="str">
            <v>МО-87</v>
          </cell>
        </row>
        <row r="2180">
          <cell r="A2180" t="str">
            <v>Кран гусеничный Liebherr LTR-1100 гос.№ 3428ТА72</v>
          </cell>
          <cell r="B2180" t="str">
            <v>МО-87</v>
          </cell>
        </row>
        <row r="2181">
          <cell r="A2181" t="str">
            <v>Экскаватор-погрузчик New Holland B110-4PT гос.№ 3615ТР72</v>
          </cell>
          <cell r="B2181" t="str">
            <v>МО-87</v>
          </cell>
        </row>
        <row r="2182">
          <cell r="A2182" t="str">
            <v>Кран гусеничный Hitachi KH-300 гос.№ 3625ТХ72</v>
          </cell>
          <cell r="B2182" t="str">
            <v>МО-87</v>
          </cell>
        </row>
        <row r="2183">
          <cell r="A2183" t="str">
            <v>Полуприцеп ТСП-94171-0000020 гос.№ 3840ВА89</v>
          </cell>
          <cell r="B2183" t="str">
            <v>МО-87</v>
          </cell>
        </row>
        <row r="2184">
          <cell r="A2184" t="str">
            <v>Дизель-генератор SDMO Montana J130 гос.№ 4220</v>
          </cell>
          <cell r="B2184" t="str">
            <v>МО-87</v>
          </cell>
        </row>
        <row r="2185">
          <cell r="A2185" t="str">
            <v>Полуприцеп ТСП-94171-0000010 гос.№ 4582ЕТ89</v>
          </cell>
          <cell r="B2185" t="str">
            <v>МО-87</v>
          </cell>
        </row>
        <row r="2186">
          <cell r="A2186" t="str">
            <v>Компрессор Airman PDS-400SC гос.№ 50238</v>
          </cell>
          <cell r="B2186" t="str">
            <v>МО-87</v>
          </cell>
        </row>
        <row r="2187">
          <cell r="A2187" t="str">
            <v>Полуприцеп ТСП-9417-0000010 гос.№ 5194АУ72</v>
          </cell>
          <cell r="B2187" t="str">
            <v>МО-87</v>
          </cell>
        </row>
        <row r="2188">
          <cell r="A2188" t="str">
            <v>Полуприцеп ТСП-9417-0000020 гос.№ 5195АУ72</v>
          </cell>
          <cell r="B2188" t="str">
            <v>МО-87</v>
          </cell>
        </row>
        <row r="2189">
          <cell r="A2189" t="str">
            <v>Трактор МТЗ-82 гос.№ 5751ОА72</v>
          </cell>
          <cell r="B2189" t="str">
            <v>МО-87</v>
          </cell>
        </row>
        <row r="2190">
          <cell r="A2190" t="str">
            <v>Кран железнодорожный КЖДЭ-25 гос.№ 60179</v>
          </cell>
          <cell r="B2190" t="str">
            <v>МО-87</v>
          </cell>
        </row>
        <row r="2191">
          <cell r="A2191" t="str">
            <v>Компрессор ПКСД гос.№ 60309</v>
          </cell>
          <cell r="B2191" t="str">
            <v>МО-87</v>
          </cell>
        </row>
        <row r="2192">
          <cell r="A2192" t="str">
            <v>Кран железнодорожный КДЭ-163 гос.№ 60354</v>
          </cell>
          <cell r="B2192" t="str">
            <v>МО-87</v>
          </cell>
        </row>
        <row r="2193">
          <cell r="A2193" t="str">
            <v>ДЭС-100 гос.№ 60479</v>
          </cell>
          <cell r="B2193" t="str">
            <v>МО-87</v>
          </cell>
        </row>
        <row r="2194">
          <cell r="A2194" t="str">
            <v>ДЭС-100 гос.№ 605722</v>
          </cell>
          <cell r="B2194" t="str">
            <v>МО-87</v>
          </cell>
        </row>
        <row r="2195">
          <cell r="A2195" t="str">
            <v>Кран железнодорожный КЖ-562А гос.№ 605726</v>
          </cell>
          <cell r="B2195" t="str">
            <v>МО-87</v>
          </cell>
        </row>
        <row r="2196">
          <cell r="A2196" t="str">
            <v>Компрессор Airman PDS-390SC гос.№ 606042</v>
          </cell>
          <cell r="B2196" t="str">
            <v>МО-87</v>
          </cell>
        </row>
        <row r="2197">
          <cell r="A2197" t="str">
            <v>Компрессор Airman PDS-390S гос.№ 606048</v>
          </cell>
          <cell r="B2197" t="str">
            <v>МО-87</v>
          </cell>
        </row>
        <row r="2198">
          <cell r="A2198" t="str">
            <v>Трактор К-700А гос.№ 6707ТВ72</v>
          </cell>
          <cell r="B2198" t="str">
            <v>МО-87</v>
          </cell>
        </row>
        <row r="2199">
          <cell r="A2199" t="str">
            <v>Экскаватор-погрузчик Case 695ST гос.№ 7246ОВ72</v>
          </cell>
          <cell r="B2199" t="str">
            <v>МО-87</v>
          </cell>
        </row>
        <row r="2200">
          <cell r="A2200" t="str">
            <v>Кран гусеничный Hitachi KH-180-3 гос.№ 7296ОВ72</v>
          </cell>
          <cell r="B2200" t="str">
            <v>МО-87</v>
          </cell>
        </row>
        <row r="2201">
          <cell r="A2201" t="str">
            <v>Полуприцеп 9942L3 гос.№ 7399АХ72</v>
          </cell>
          <cell r="B2201" t="str">
            <v>МО-87</v>
          </cell>
        </row>
        <row r="2202">
          <cell r="A2202" t="str">
            <v>Кран гусеничный iHi CCH-700 гос.№ 7984ТК72</v>
          </cell>
          <cell r="B2202" t="str">
            <v>МО-87</v>
          </cell>
        </row>
        <row r="2203">
          <cell r="A2203" t="str">
            <v>Кран гусеничный iHi CCH-700 гос.№ 7985ТК72</v>
          </cell>
          <cell r="B2203" t="str">
            <v>МО-87</v>
          </cell>
        </row>
        <row r="2204">
          <cell r="A2204" t="str">
            <v>Электростанция Airman SDG-45S гос.№ 81037</v>
          </cell>
          <cell r="B2204" t="str">
            <v>МО-87</v>
          </cell>
        </row>
        <row r="2205">
          <cell r="A2205" t="str">
            <v>Полуприцеп ТСП-94171-0000010 гос.№ 8140АУ72</v>
          </cell>
          <cell r="B2205" t="str">
            <v>МО-87</v>
          </cell>
        </row>
        <row r="2206">
          <cell r="A2206" t="str">
            <v>Полуприцеп ТСП-94184-0000010 гос.№ 8147ЕТ89</v>
          </cell>
          <cell r="B2206" t="str">
            <v>МО-87</v>
          </cell>
        </row>
        <row r="2207">
          <cell r="A2207" t="str">
            <v>Полуприцеп-тяжеловоз 994271 гос.№ 8185АУ72</v>
          </cell>
          <cell r="B2207" t="str">
            <v>МО-87</v>
          </cell>
        </row>
        <row r="2208">
          <cell r="A2208" t="str">
            <v>Полуприцеп МАЗ 975800-2012 гос.№ 8557АТ72</v>
          </cell>
          <cell r="B2208" t="str">
            <v>МО-87</v>
          </cell>
        </row>
        <row r="2209">
          <cell r="A2209" t="str">
            <v>Полуприцеп МАЗ 975800-2012 гос.№ 8558АТ72</v>
          </cell>
          <cell r="B2209" t="str">
            <v>МО-87</v>
          </cell>
        </row>
        <row r="2210">
          <cell r="A2210" t="str">
            <v>Кран гусеничный Hitachi KH-300 гос.№ 8724ХР86</v>
          </cell>
          <cell r="B2210" t="str">
            <v>МО-87</v>
          </cell>
        </row>
        <row r="2211">
          <cell r="A2211" t="str">
            <v>Автогрейдер ГС-18.05 гос.№ 9018ТХ72</v>
          </cell>
          <cell r="B2211" t="str">
            <v>МО-87</v>
          </cell>
        </row>
        <row r="2212">
          <cell r="A2212" t="str">
            <v>Полуприцеп НефАЗ 93341 гос.№ 9654АР86</v>
          </cell>
          <cell r="B2212" t="str">
            <v>МО-87</v>
          </cell>
        </row>
        <row r="2213">
          <cell r="A2213" t="str">
            <v>Полуприцеп НефАЗ 93341 гос.№ 9715АР86</v>
          </cell>
          <cell r="B2213" t="str">
            <v>МО-87</v>
          </cell>
        </row>
        <row r="2214">
          <cell r="A2214" t="str">
            <v>Полуприцеп 9438-0000010 гос.№ 9811АУ72</v>
          </cell>
          <cell r="B2214" t="str">
            <v>МО-87</v>
          </cell>
        </row>
        <row r="2215">
          <cell r="A2215" t="str">
            <v>Полуприцеп ТСП-94171-0000010 гос.№ 9937АТ72</v>
          </cell>
          <cell r="B2215" t="str">
            <v>МО-87</v>
          </cell>
        </row>
        <row r="2216">
          <cell r="A2216" t="str">
            <v>Полуприцеп-тяжеловоз 99421-B гос.№ 9949АТ72</v>
          </cell>
          <cell r="B2216" t="str">
            <v>МО-87</v>
          </cell>
        </row>
        <row r="2217">
          <cell r="A2217" t="str">
            <v>Прицеп НЕФАЗ 8332 гос.№ 9982АУ72</v>
          </cell>
          <cell r="B2217" t="str">
            <v>МО-87</v>
          </cell>
        </row>
        <row r="2218">
          <cell r="A2218" t="str">
            <v>Автобус Ford Transit гос.№ С038ТМ72</v>
          </cell>
          <cell r="B2218" t="str">
            <v>СУ</v>
          </cell>
        </row>
        <row r="2219">
          <cell r="A2219" t="str">
            <v>Х133ВК797</v>
          </cell>
          <cell r="B2219" t="str">
            <v>МО15</v>
          </cell>
        </row>
        <row r="2220">
          <cell r="A2220" t="str">
            <v>Экскаватор гусеничный Doosan DX360LCA-7M гос.№ 1936ое72</v>
          </cell>
          <cell r="B2220" t="str">
            <v>МО-36</v>
          </cell>
        </row>
        <row r="2221">
          <cell r="A2221" t="str">
            <v>1936ое72</v>
          </cell>
          <cell r="B2221" t="str">
            <v>МО-36</v>
          </cell>
        </row>
        <row r="2222">
          <cell r="A2222" t="str">
            <v>Самосвал Volvo FM Truck 6х4 гос.№ Т053СС72</v>
          </cell>
          <cell r="B2222" t="str">
            <v>МО-36</v>
          </cell>
        </row>
        <row r="2223">
          <cell r="A2223" t="str">
            <v>Самосвал Volvo FM Truck 6х4 гос.№ Р028МС72</v>
          </cell>
          <cell r="B2223" t="str">
            <v>МО-36</v>
          </cell>
        </row>
        <row r="2224">
          <cell r="A2224" t="str">
            <v>Самосвал Volvo FM Truck 6х4 гос.№ Р026МС72</v>
          </cell>
          <cell r="B2224" t="str">
            <v>МО-36</v>
          </cell>
        </row>
        <row r="2225">
          <cell r="A2225" t="str">
            <v>Самосвал Volvo FM Truck 6х6 гос.№ О142СЕ89</v>
          </cell>
          <cell r="B2225" t="str">
            <v>МО-36</v>
          </cell>
        </row>
        <row r="2226">
          <cell r="A2226" t="str">
            <v>Самосвал Volvo FM Truck 6х6 гос.№ В914ОА72</v>
          </cell>
          <cell r="B2226" t="str">
            <v>МО-36</v>
          </cell>
        </row>
        <row r="2227">
          <cell r="A2227" t="str">
            <v>Самосвал Volvo FM Truck 6х6 гос.№ О140СЕ89</v>
          </cell>
          <cell r="B2227" t="str">
            <v>МО-36</v>
          </cell>
        </row>
        <row r="2228">
          <cell r="A2228" t="str">
            <v>Самосвал Mercedes-Benz Actros 65516 гос.№ У291СХ86</v>
          </cell>
          <cell r="B2228" t="str">
            <v>МО-36</v>
          </cell>
        </row>
        <row r="2229">
          <cell r="A2229" t="str">
            <v>Самосвал Scania P380-CB 6х4 гос.№ О156ЕР72</v>
          </cell>
        </row>
        <row r="2230">
          <cell r="A2230" t="str">
            <v>Самосвал КамАЗ 43255-Н3 гос.№ Х643РС72</v>
          </cell>
        </row>
        <row r="2231">
          <cell r="A2231" t="str">
            <v>Самосвал Tatra Т815-2А гос.№ В884ХС86</v>
          </cell>
        </row>
        <row r="2232">
          <cell r="A2232" t="str">
            <v>Самосвал Volvo FM Truck 6х4 гос.№ К032СС72</v>
          </cell>
        </row>
        <row r="2233">
          <cell r="A2233" t="str">
            <v>Самосвал КамАЗ 43255-Н3 гос.№ А298ВТ186</v>
          </cell>
        </row>
        <row r="2234">
          <cell r="A2234" t="str">
            <v>Самосвал ЗИЛ 450850 гос.№ В092МС72</v>
          </cell>
        </row>
        <row r="2235">
          <cell r="A2235" t="str">
            <v>Самосвал MAN 9596-03-50 6х6 гос.№ Т220ХА72</v>
          </cell>
        </row>
        <row r="2236">
          <cell r="A2236" t="str">
            <v>Самосвал Volvo FM Truck 6х4 гос.№ С225МН72</v>
          </cell>
          <cell r="B2236" t="str">
            <v>МО-36</v>
          </cell>
        </row>
        <row r="2237">
          <cell r="A2237" t="str">
            <v>Самосвал Volvo FM Truck 6х4 гос.№ С228МН72</v>
          </cell>
          <cell r="B2237" t="str">
            <v>МО-36</v>
          </cell>
        </row>
        <row r="2238">
          <cell r="A2238" t="str">
            <v>Самосвал КамАЗ 65115 (двиг.КамАЗ-740.11-240) гос.№ К206ХА72</v>
          </cell>
        </row>
        <row r="2239">
          <cell r="A2239" t="str">
            <v>Самосвал СААЗ-4545 на шасси ЗиЛ гос.№ М253СЕ72</v>
          </cell>
        </row>
        <row r="2240">
          <cell r="A2240" t="str">
            <v>Самосвал Volvo FM Truck 6х4 гос.№ С824НС72</v>
          </cell>
          <cell r="B2240" t="str">
            <v>МО-36</v>
          </cell>
        </row>
        <row r="2241">
          <cell r="A2241" t="str">
            <v>Самосвал Volvo FM Truck 6х4 гос.№ С887НС72</v>
          </cell>
          <cell r="B2241" t="str">
            <v>МО-36</v>
          </cell>
        </row>
        <row r="2242">
          <cell r="A2242" t="str">
            <v>Самосвал Урал 583100 гос.№ Т541ВН89</v>
          </cell>
        </row>
        <row r="2243">
          <cell r="A2243" t="str">
            <v>Самосвал HINO 658991E 6x4 гос.№ О876МС72</v>
          </cell>
          <cell r="B2243" t="str">
            <v>МО-36</v>
          </cell>
        </row>
        <row r="2244">
          <cell r="A2244" t="str">
            <v>Самосвал SHACMAN 6x4 гос.№ Х383РХ72</v>
          </cell>
        </row>
        <row r="2245">
          <cell r="A2245" t="str">
            <v>Самосвал SHACMAN 6x4 гос.№ Х371РХ72</v>
          </cell>
        </row>
        <row r="2246">
          <cell r="A2246" t="str">
            <v>Самосвал SHACMAN 6x4 гос.№ Х331РХ72</v>
          </cell>
        </row>
        <row r="2247">
          <cell r="A2247" t="str">
            <v>Самосвал SHACMAN 6x4 гос.№ Х570РХ72</v>
          </cell>
        </row>
        <row r="2248">
          <cell r="A2248" t="str">
            <v>Самосвал SHACMAN 6x4 гос.№ Х347СК72</v>
          </cell>
        </row>
        <row r="2249">
          <cell r="A2249" t="str">
            <v>Самосвал SANY 6x4 гос.№ Р871МР186</v>
          </cell>
          <cell r="B2249" t="str">
            <v>МО-36</v>
          </cell>
        </row>
        <row r="2250">
          <cell r="A2250" t="str">
            <v>Самосвал SANY 6x4 гос.№ Р877МР186</v>
          </cell>
          <cell r="B2250" t="str">
            <v>МО-36</v>
          </cell>
        </row>
        <row r="2251">
          <cell r="A2251" t="str">
            <v>Самосвал SANY 6x4 гос.№ Р856МР186</v>
          </cell>
          <cell r="B2251" t="str">
            <v>МО-36</v>
          </cell>
        </row>
        <row r="2252">
          <cell r="A2252" t="str">
            <v>Самосвал SANY 6x4 гос.№ Р391МС186</v>
          </cell>
          <cell r="B2252" t="str">
            <v>МО-36</v>
          </cell>
        </row>
        <row r="2253">
          <cell r="A2253" t="str">
            <v>Самосвал SANY 6x4 гос.№ Р372МС186</v>
          </cell>
          <cell r="B2253" t="str">
            <v>МО-36</v>
          </cell>
        </row>
        <row r="2254">
          <cell r="A2254" t="str">
            <v>Самосвал SHACMAN 6x4 гос.№ Х339РХ72</v>
          </cell>
        </row>
        <row r="2255">
          <cell r="A2255" t="str">
            <v>Самосвал Volvo FM Truck 6х4 гос.№ Т051СС72</v>
          </cell>
          <cell r="B2255" t="str">
            <v>МО-36</v>
          </cell>
        </row>
        <row r="2256">
          <cell r="A2256" t="str">
            <v>Самосвал Volvo FM Truck 6х4 гос.№ С220МН72</v>
          </cell>
          <cell r="B2256" t="str">
            <v>МО-36</v>
          </cell>
        </row>
        <row r="2257">
          <cell r="A2257" t="str">
            <v>Самосвал КамАЗ 43255-Н3 гос.№ Х644РС72</v>
          </cell>
        </row>
        <row r="2258">
          <cell r="A2258" t="str">
            <v>Самосвал SANY 6x4 гос.№ Р886МР186</v>
          </cell>
          <cell r="B2258" t="str">
            <v>МО-36</v>
          </cell>
        </row>
        <row r="2259">
          <cell r="A2259" t="str">
            <v>Самосвал HINO 658991E 6x4 гос.№ О927МС72</v>
          </cell>
          <cell r="B2259" t="str">
            <v>МО-36</v>
          </cell>
        </row>
        <row r="2260">
          <cell r="A2260" t="str">
            <v>Самосвал Volvo FM Truck 6х4 гос.№ С234МН72</v>
          </cell>
          <cell r="B2260" t="str">
            <v>МО-36</v>
          </cell>
        </row>
        <row r="2261">
          <cell r="A2261" t="str">
            <v>Самосвал SANY 6x4 гос.№ Р445МС186</v>
          </cell>
          <cell r="B2261" t="str">
            <v>МО-36</v>
          </cell>
        </row>
        <row r="2262">
          <cell r="A2262" t="str">
            <v>Самосвал Volvo FM Truck 6х4 гос.№ С884НС72</v>
          </cell>
          <cell r="B2262" t="str">
            <v>МО-36</v>
          </cell>
        </row>
        <row r="2263">
          <cell r="A2263" t="str">
            <v>Самосвал Volvo FM Truck 6х4 гос.№ С881НС72</v>
          </cell>
          <cell r="B2263" t="str">
            <v>МО-36</v>
          </cell>
        </row>
        <row r="2264">
          <cell r="A2264" t="str">
            <v>Самосвал Volvo FM Truck 6х4 гос.№ Р027МС72</v>
          </cell>
          <cell r="B2264" t="str">
            <v>МО-36</v>
          </cell>
        </row>
        <row r="2265">
          <cell r="A2265" t="str">
            <v>Самосвал HINO 658991E 6x4 гос.№ О898МС72</v>
          </cell>
          <cell r="B2265" t="str">
            <v>МО-36</v>
          </cell>
        </row>
        <row r="2266">
          <cell r="A2266" t="str">
            <v>Самосвал SANY 6x4 гос.№ Р595МО186</v>
          </cell>
        </row>
        <row r="2267">
          <cell r="A2267" t="str">
            <v>Самосвал Hino 700 гос.№ К404УА186</v>
          </cell>
        </row>
        <row r="2268">
          <cell r="A2268" t="str">
            <v>Самосвал Hino 700 гос.№ К641УК186</v>
          </cell>
        </row>
        <row r="2269">
          <cell r="A2269" t="str">
            <v>Самосвал SANY 6x4 гос.№ Р762МТ186</v>
          </cell>
        </row>
        <row r="2270">
          <cell r="A2270" t="str">
            <v>Самосвал КамАЗ 6520-06 гос.№ С903ЕО72</v>
          </cell>
        </row>
        <row r="2271">
          <cell r="A2271" t="str">
            <v>Самосвал SANY 6x4 гос.№ Р739МТ186</v>
          </cell>
        </row>
        <row r="2272">
          <cell r="A2272" t="str">
            <v>Самосвал Volvo FM Truck 6х4 гос.№ С177МН72</v>
          </cell>
        </row>
        <row r="2273">
          <cell r="A2273" t="str">
            <v>Самосвал SANY 6x4 гос.№ Р459МС186</v>
          </cell>
        </row>
        <row r="2274">
          <cell r="A2274" t="str">
            <v>Самосвал SANY 6x4 гос.№ Р424МС186</v>
          </cell>
        </row>
        <row r="2275">
          <cell r="A2275" t="str">
            <v>Самосвал SANY 6x4 гос.№ Р161МР186</v>
          </cell>
        </row>
        <row r="2276">
          <cell r="A2276" t="str">
            <v>Самосвал SANY 6x4 гос.№ Р382МС186</v>
          </cell>
        </row>
        <row r="2277">
          <cell r="A2277" t="str">
            <v>Самосвал MAN БМЦ-57.6 6х6 гос.№ С243ОХ72</v>
          </cell>
        </row>
        <row r="2278">
          <cell r="A2278" t="str">
            <v>Самосвал MAN БМЦ-57.6 6х6 гос.№ С224ОХ72</v>
          </cell>
        </row>
        <row r="2279">
          <cell r="A2279" t="str">
            <v>Самосвал Volvo FM Truck 6х4 гос.№ Р030МС72</v>
          </cell>
        </row>
        <row r="2280">
          <cell r="A2280" t="str">
            <v>Самосвал MAN 9596-03-50 6х6 гос.№ Т219ХА72</v>
          </cell>
        </row>
        <row r="2281">
          <cell r="A2281" t="str">
            <v>Самосвал Volvo FM Truck 6х4 гос.№ С217МН72</v>
          </cell>
        </row>
        <row r="2282">
          <cell r="A2282" t="str">
            <v>Самосвал SITRACK C7H гос.№ А538АТ172</v>
          </cell>
        </row>
        <row r="2283">
          <cell r="A2283" t="str">
            <v>Самосвал Volvo FM Truck 6х4 гос.№ С141МН72</v>
          </cell>
        </row>
        <row r="2284">
          <cell r="A2284" t="str">
            <v>Самосвал Scania P380-CB 6х4 EHZ гос.№ В472ХН86</v>
          </cell>
        </row>
        <row r="2285">
          <cell r="A2285" t="str">
            <v>Самосвал Scania P380-CB 6х4 гос.№ О154ЕР72</v>
          </cell>
        </row>
        <row r="2286">
          <cell r="A2286" t="str">
            <v>Самосвал SITRACK C7H гос.№ А525АТ172</v>
          </cell>
        </row>
        <row r="2287">
          <cell r="A2287" t="str">
            <v>Самосвал SITRACK C7H гос.№ А542АТ172</v>
          </cell>
        </row>
        <row r="2288">
          <cell r="A2288" t="str">
            <v>Самосвал Volvo FM Truck 6х4 гос.№ С842НС72</v>
          </cell>
        </row>
        <row r="2289">
          <cell r="A2289" t="str">
            <v>Самосвал SITRACK C7H гос.№ А446АТ172</v>
          </cell>
        </row>
        <row r="2290">
          <cell r="A2290" t="str">
            <v>Самосвал Volvo FM Truck 6х4 гос.№ С238МН72</v>
          </cell>
          <cell r="B2290" t="str">
            <v>МО-36</v>
          </cell>
        </row>
        <row r="2291">
          <cell r="A2291" t="str">
            <v>Самосвал Volvo FM Truck 6х4 гос.№ С241МН72</v>
          </cell>
          <cell r="B2291" t="str">
            <v>МО-36</v>
          </cell>
        </row>
        <row r="2292">
          <cell r="A2292" t="str">
            <v>Самосвал Volvo FM Truck 6х4 гос.№ Т052СС72</v>
          </cell>
          <cell r="B2292" t="str">
            <v>МО-36</v>
          </cell>
        </row>
        <row r="2293">
          <cell r="A2293" t="str">
            <v>Самосвал Volvo FM Truck 6х4 гос.№ С880НС72</v>
          </cell>
          <cell r="B2293" t="str">
            <v>МО-36</v>
          </cell>
        </row>
        <row r="2294">
          <cell r="A2294" t="str">
            <v>Самосвал SITRACK C7H гос.№ А021АТ172</v>
          </cell>
        </row>
        <row r="2295">
          <cell r="A2295" t="str">
            <v>Самосвал SANY 6x4 гос.№ Р381МС186</v>
          </cell>
        </row>
        <row r="2296">
          <cell r="A2296" t="str">
            <v>Самосвал Volvo FM Truck 6х4 гос.№ Р025МС72</v>
          </cell>
          <cell r="B2296" t="str">
            <v>МО-36</v>
          </cell>
        </row>
        <row r="2297">
          <cell r="A2297" t="str">
            <v>Самосвал Scania P400-CB 6х4 гос.№ Р665КХ72</v>
          </cell>
          <cell r="B2297" t="str">
            <v>МО-36</v>
          </cell>
        </row>
        <row r="2298">
          <cell r="A2298" t="str">
            <v>Самосвал Volvo FM Truck 6х4 гос.№ С886НС72</v>
          </cell>
          <cell r="B2298" t="str">
            <v>МО-36</v>
          </cell>
        </row>
        <row r="2299">
          <cell r="A2299" t="str">
            <v>Самосвал Scania P400-CB 6х4 гос.№ Р664КХ72</v>
          </cell>
          <cell r="B2299" t="str">
            <v>МО-36</v>
          </cell>
        </row>
        <row r="2300">
          <cell r="A2300" t="str">
            <v>Самосвал Volvo FM Truck 6х4 гос.№ С165МН72</v>
          </cell>
          <cell r="B2300" t="str">
            <v>МО-36</v>
          </cell>
        </row>
        <row r="2301">
          <cell r="A2301" t="str">
            <v>Самосвал Volvo FM Truck 6х4 гос.№ Р029МС72</v>
          </cell>
          <cell r="B2301" t="str">
            <v>МО-36</v>
          </cell>
        </row>
        <row r="2302">
          <cell r="A2302" t="str">
            <v>Самосвал Volvo FM Truck 6х4 гос.№ С840НС72</v>
          </cell>
          <cell r="B2302" t="str">
            <v>МО-36</v>
          </cell>
        </row>
        <row r="2303">
          <cell r="A2303" t="str">
            <v>Самосвал SANY 6x4 гос.№ Р404МС186</v>
          </cell>
          <cell r="B2303" t="str">
            <v>МО-36</v>
          </cell>
        </row>
        <row r="2304">
          <cell r="A2304" t="str">
            <v>Самосвал SANY 6x4 гос.№ Р605МО186</v>
          </cell>
          <cell r="B2304" t="str">
            <v>МО-36</v>
          </cell>
        </row>
        <row r="2305">
          <cell r="A2305" t="str">
            <v>Самосвал Volvo FM Truck 6х4 гос.№ Р031МС72</v>
          </cell>
          <cell r="B2305" t="str">
            <v>МО-36</v>
          </cell>
        </row>
        <row r="2306">
          <cell r="A2306" t="str">
            <v>Самосвал SANY 6x4 гос.№ Р755МТ186</v>
          </cell>
          <cell r="B2306" t="str">
            <v>МО-36</v>
          </cell>
        </row>
        <row r="2307">
          <cell r="A2307" t="str">
            <v>Самосвал SANY 6x4 гос.№ Р855МР186</v>
          </cell>
          <cell r="B2307" t="str">
            <v>МО-36</v>
          </cell>
        </row>
        <row r="2308">
          <cell r="A2308" t="str">
            <v>Самосвал SANY 6x4 гос.№ Р791МТ186</v>
          </cell>
          <cell r="B2308" t="str">
            <v>МО-36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!!&#1056;&#1072;&#1079;&#1088;&#1072;&#1073;&#1086;&#1090;&#1082;&#1072;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F0AE4-06B1-47F8-B5B7-867FB7A48174}">
  <dimension ref="A2:E15"/>
  <sheetViews>
    <sheetView workbookViewId="0">
      <selection activeCell="A10" sqref="A10"/>
    </sheetView>
  </sheetViews>
  <sheetFormatPr defaultRowHeight="15"/>
  <cols>
    <col min="1" max="1" width="146.28515625" style="87" customWidth="1"/>
  </cols>
  <sheetData>
    <row r="2" spans="1:5">
      <c r="A2" s="131" t="s">
        <v>1298</v>
      </c>
    </row>
    <row r="3" spans="1:5">
      <c r="A3" s="130" t="s">
        <v>1299</v>
      </c>
    </row>
    <row r="4" spans="1:5" ht="67.5" customHeight="1">
      <c r="A4" s="132" t="s">
        <v>1304</v>
      </c>
      <c r="E4" s="134"/>
    </row>
    <row r="5" spans="1:5">
      <c r="A5" s="132" t="s">
        <v>1300</v>
      </c>
    </row>
    <row r="6" spans="1:5" ht="45">
      <c r="A6" s="132" t="s">
        <v>1301</v>
      </c>
    </row>
    <row r="7" spans="1:5" ht="30">
      <c r="A7" s="132" t="s">
        <v>1302</v>
      </c>
    </row>
    <row r="8" spans="1:5" ht="45">
      <c r="A8" s="132" t="s">
        <v>1303</v>
      </c>
    </row>
    <row r="9" spans="1:5" ht="44.25" customHeight="1">
      <c r="A9" s="133"/>
    </row>
    <row r="10" spans="1:5" ht="44.25" customHeight="1">
      <c r="A10" s="133"/>
    </row>
    <row r="11" spans="1:5" ht="44.25" customHeight="1">
      <c r="A11" s="133"/>
    </row>
    <row r="12" spans="1:5" ht="44.25" customHeight="1">
      <c r="A12" s="133"/>
    </row>
    <row r="13" spans="1:5" ht="44.25" customHeight="1">
      <c r="A13" s="133"/>
    </row>
    <row r="14" spans="1:5">
      <c r="A14" s="133"/>
    </row>
    <row r="15" spans="1:5">
      <c r="A15" s="1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D01E-A342-4973-B33A-E17EE40E43C7}">
  <dimension ref="A1:A54"/>
  <sheetViews>
    <sheetView topLeftCell="A4" workbookViewId="0">
      <selection activeCell="A10" sqref="A10"/>
    </sheetView>
  </sheetViews>
  <sheetFormatPr defaultRowHeight="15"/>
  <cols>
    <col min="1" max="1" width="146.28515625" style="87" customWidth="1"/>
  </cols>
  <sheetData>
    <row r="1" spans="1:1">
      <c r="A1" s="131" t="s">
        <v>1310</v>
      </c>
    </row>
    <row r="2" spans="1:1">
      <c r="A2" s="130" t="s">
        <v>1305</v>
      </c>
    </row>
    <row r="3" spans="1:1">
      <c r="A3" s="132" t="s">
        <v>1311</v>
      </c>
    </row>
    <row r="4" spans="1:1">
      <c r="A4" s="132" t="s">
        <v>1312</v>
      </c>
    </row>
    <row r="5" spans="1:1" ht="86.25" customHeight="1">
      <c r="A5" s="132" t="s">
        <v>1317</v>
      </c>
    </row>
    <row r="6" spans="1:1">
      <c r="A6" s="132" t="s">
        <v>1318</v>
      </c>
    </row>
    <row r="7" spans="1:1">
      <c r="A7" s="132" t="s">
        <v>1319</v>
      </c>
    </row>
    <row r="8" spans="1:1">
      <c r="A8" s="132" t="s">
        <v>1320</v>
      </c>
    </row>
    <row r="9" spans="1:1">
      <c r="A9" s="132"/>
    </row>
    <row r="10" spans="1:1">
      <c r="A10" s="132"/>
    </row>
    <row r="13" spans="1:1">
      <c r="A13" s="131" t="s">
        <v>1298</v>
      </c>
    </row>
    <row r="14" spans="1:1">
      <c r="A14" s="130" t="s">
        <v>1305</v>
      </c>
    </row>
    <row r="15" spans="1:1">
      <c r="A15" s="132" t="s">
        <v>1308</v>
      </c>
    </row>
    <row r="16" spans="1:1">
      <c r="A16" s="132" t="s">
        <v>1306</v>
      </c>
    </row>
    <row r="17" spans="1:1" ht="45">
      <c r="A17" s="132" t="s">
        <v>1307</v>
      </c>
    </row>
    <row r="18" spans="1:1">
      <c r="A18" s="132" t="s">
        <v>1309</v>
      </c>
    </row>
    <row r="19" spans="1:1">
      <c r="A19" s="132" t="s">
        <v>1313</v>
      </c>
    </row>
    <row r="20" spans="1:1" ht="48" customHeight="1">
      <c r="A20" s="132" t="s">
        <v>1314</v>
      </c>
    </row>
    <row r="21" spans="1:1">
      <c r="A21" s="132" t="s">
        <v>1315</v>
      </c>
    </row>
    <row r="22" spans="1:1" ht="30">
      <c r="A22" s="132" t="s">
        <v>1316</v>
      </c>
    </row>
    <row r="23" spans="1:1">
      <c r="A23" s="132"/>
    </row>
    <row r="24" spans="1:1">
      <c r="A24" s="132"/>
    </row>
    <row r="25" spans="1:1">
      <c r="A25" s="132"/>
    </row>
    <row r="26" spans="1:1">
      <c r="A26" s="132"/>
    </row>
    <row r="33" spans="1:1">
      <c r="A33" s="131" t="s">
        <v>383</v>
      </c>
    </row>
    <row r="34" spans="1:1">
      <c r="A34" s="130" t="s">
        <v>1305</v>
      </c>
    </row>
    <row r="35" spans="1:1">
      <c r="A35" s="132"/>
    </row>
    <row r="36" spans="1:1">
      <c r="A36" s="132"/>
    </row>
    <row r="37" spans="1:1">
      <c r="A37" s="132"/>
    </row>
    <row r="38" spans="1:1">
      <c r="A38" s="132"/>
    </row>
    <row r="39" spans="1:1">
      <c r="A39" s="132"/>
    </row>
    <row r="40" spans="1:1">
      <c r="A40" s="133"/>
    </row>
    <row r="41" spans="1:1">
      <c r="A41" s="133"/>
    </row>
    <row r="42" spans="1:1">
      <c r="A42" s="133"/>
    </row>
    <row r="47" spans="1:1">
      <c r="A47" s="131" t="s">
        <v>1321</v>
      </c>
    </row>
    <row r="48" spans="1:1">
      <c r="A48" s="130" t="s">
        <v>1305</v>
      </c>
    </row>
    <row r="49" spans="1:1" ht="30">
      <c r="A49" s="132" t="s">
        <v>1322</v>
      </c>
    </row>
    <row r="50" spans="1:1">
      <c r="A50" s="132"/>
    </row>
    <row r="51" spans="1:1">
      <c r="A51" s="132"/>
    </row>
    <row r="52" spans="1:1">
      <c r="A52" s="132"/>
    </row>
    <row r="53" spans="1:1">
      <c r="A53" s="132"/>
    </row>
    <row r="54" spans="1:1">
      <c r="A54" s="13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2F09-C2AD-4303-901D-09BA8A851823}">
  <sheetPr filterMode="1">
    <tabColor rgb="FFFF0000"/>
    <outlinePr summaryBelow="0" summaryRight="0"/>
    <pageSetUpPr autoPageBreaks="0"/>
  </sheetPr>
  <dimension ref="A1:V543"/>
  <sheetViews>
    <sheetView workbookViewId="0">
      <pane xSplit="2" ySplit="1" topLeftCell="C435" activePane="bottomRight" state="frozen"/>
      <selection activeCell="J461" sqref="J461"/>
      <selection pane="topRight" activeCell="J461" sqref="J461"/>
      <selection pane="bottomLeft" activeCell="J461" sqref="J461"/>
      <selection pane="bottomRight" activeCell="C1" sqref="C1:K543"/>
    </sheetView>
  </sheetViews>
  <sheetFormatPr defaultColWidth="9" defaultRowHeight="11.45" customHeight="1"/>
  <cols>
    <col min="1" max="1" width="4" style="13" customWidth="1"/>
    <col min="2" max="2" width="15" style="13" customWidth="1"/>
    <col min="3" max="4" width="43.28515625" style="13" customWidth="1"/>
    <col min="5" max="5" width="28.28515625" style="13" customWidth="1"/>
    <col min="6" max="7" width="15" style="13" hidden="1" customWidth="1"/>
    <col min="8" max="9" width="15" style="13" customWidth="1"/>
    <col min="10" max="14" width="16.5703125" style="29" customWidth="1"/>
    <col min="15" max="15" width="15" style="13" customWidth="1"/>
    <col min="16" max="16384" width="9" style="6"/>
  </cols>
  <sheetData>
    <row r="1" spans="1:15" ht="50.25" customHeight="1">
      <c r="A1" s="1" t="s">
        <v>0</v>
      </c>
      <c r="B1" s="1" t="s">
        <v>1</v>
      </c>
      <c r="C1" s="2">
        <v>18</v>
      </c>
      <c r="D1" s="1"/>
      <c r="E1" s="2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3" t="s">
        <v>7</v>
      </c>
      <c r="K1" s="4" t="s">
        <v>8</v>
      </c>
      <c r="L1" s="4" t="s">
        <v>9</v>
      </c>
      <c r="M1" s="4" t="s">
        <v>10</v>
      </c>
      <c r="N1" s="5" t="s">
        <v>11</v>
      </c>
      <c r="O1" s="1" t="s">
        <v>12</v>
      </c>
    </row>
    <row r="2" spans="1:15" ht="11.1" hidden="1" customHeight="1">
      <c r="A2" s="7">
        <v>2</v>
      </c>
      <c r="B2" s="8" t="s">
        <v>13</v>
      </c>
      <c r="C2" s="8" t="s">
        <v>14</v>
      </c>
      <c r="D2" s="8" t="str">
        <f>CONCATENATE("Тип"," ",E2)</f>
        <v>Тип Автобетоносмесители</v>
      </c>
      <c r="E2" s="8" t="s">
        <v>15</v>
      </c>
      <c r="F2" s="8"/>
      <c r="G2" s="8"/>
      <c r="H2" s="9">
        <v>38</v>
      </c>
      <c r="I2" s="9">
        <v>10</v>
      </c>
      <c r="J2" s="10">
        <v>8.9</v>
      </c>
      <c r="K2" s="10">
        <v>8.9</v>
      </c>
      <c r="L2" s="10"/>
      <c r="M2" s="10"/>
      <c r="N2" s="10"/>
      <c r="O2" s="8"/>
    </row>
    <row r="3" spans="1:15" ht="11.1" hidden="1" customHeight="1">
      <c r="A3" s="7">
        <v>3</v>
      </c>
      <c r="B3" s="8" t="s">
        <v>13</v>
      </c>
      <c r="C3" s="8" t="s">
        <v>16</v>
      </c>
      <c r="D3" s="8" t="str">
        <f t="shared" ref="D3:D66" si="0">CONCATENATE("Тип"," ",E3)</f>
        <v>Тип Автобетоносмесители</v>
      </c>
      <c r="E3" s="8" t="s">
        <v>15</v>
      </c>
      <c r="F3" s="8"/>
      <c r="G3" s="8"/>
      <c r="H3" s="9">
        <v>38</v>
      </c>
      <c r="I3" s="9">
        <v>10</v>
      </c>
      <c r="J3" s="10">
        <v>8.9</v>
      </c>
      <c r="K3" s="10">
        <v>8.9</v>
      </c>
      <c r="L3" s="10"/>
      <c r="M3" s="10"/>
      <c r="N3" s="10"/>
      <c r="O3" s="8"/>
    </row>
    <row r="4" spans="1:15" ht="11.1" hidden="1" customHeight="1">
      <c r="A4" s="7">
        <v>4</v>
      </c>
      <c r="B4" s="8" t="s">
        <v>13</v>
      </c>
      <c r="C4" s="8" t="s">
        <v>17</v>
      </c>
      <c r="D4" s="8" t="str">
        <f t="shared" si="0"/>
        <v>Тип Автобетоносмесители</v>
      </c>
      <c r="E4" s="8" t="s">
        <v>15</v>
      </c>
      <c r="F4" s="8"/>
      <c r="G4" s="8"/>
      <c r="H4" s="9">
        <v>34.5</v>
      </c>
      <c r="I4" s="9">
        <v>10</v>
      </c>
      <c r="J4" s="10">
        <v>8.9</v>
      </c>
      <c r="K4" s="10">
        <v>8.9</v>
      </c>
      <c r="L4" s="10"/>
      <c r="M4" s="10"/>
      <c r="N4" s="10"/>
      <c r="O4" s="7">
        <v>1</v>
      </c>
    </row>
    <row r="5" spans="1:15" ht="11.1" hidden="1" customHeight="1">
      <c r="A5" s="7">
        <v>5</v>
      </c>
      <c r="B5" s="8" t="s">
        <v>13</v>
      </c>
      <c r="C5" s="8" t="s">
        <v>18</v>
      </c>
      <c r="D5" s="8" t="str">
        <f t="shared" si="0"/>
        <v>Тип Автобетоносмесители</v>
      </c>
      <c r="E5" s="8" t="s">
        <v>15</v>
      </c>
      <c r="F5" s="8"/>
      <c r="G5" s="11">
        <v>1100</v>
      </c>
      <c r="H5" s="9">
        <v>30</v>
      </c>
      <c r="I5" s="9">
        <v>8</v>
      </c>
      <c r="J5" s="10">
        <v>8.3000000000000007</v>
      </c>
      <c r="K5" s="10">
        <v>8.3000000000000007</v>
      </c>
      <c r="L5" s="10"/>
      <c r="M5" s="10"/>
      <c r="N5" s="10"/>
      <c r="O5" s="8"/>
    </row>
    <row r="6" spans="1:15" ht="11.1" hidden="1" customHeight="1">
      <c r="A6" s="7">
        <v>6</v>
      </c>
      <c r="B6" s="8" t="s">
        <v>13</v>
      </c>
      <c r="C6" s="8" t="s">
        <v>19</v>
      </c>
      <c r="D6" s="8" t="str">
        <f t="shared" si="0"/>
        <v>Тип Автобетоносмесители</v>
      </c>
      <c r="E6" s="8" t="s">
        <v>15</v>
      </c>
      <c r="F6" s="8"/>
      <c r="G6" s="12">
        <v>970</v>
      </c>
      <c r="H6" s="9">
        <v>42</v>
      </c>
      <c r="I6" s="9">
        <v>10</v>
      </c>
      <c r="J6" s="10">
        <v>8.3000000000000007</v>
      </c>
      <c r="K6" s="10">
        <v>8.3000000000000007</v>
      </c>
      <c r="L6" s="10"/>
      <c r="M6" s="10"/>
      <c r="N6" s="10"/>
      <c r="O6" s="7">
        <v>1</v>
      </c>
    </row>
    <row r="7" spans="1:15" ht="11.1" hidden="1" customHeight="1">
      <c r="A7" s="7">
        <v>7</v>
      </c>
      <c r="B7" s="8" t="s">
        <v>13</v>
      </c>
      <c r="C7" s="8" t="s">
        <v>20</v>
      </c>
      <c r="D7" s="8" t="str">
        <f t="shared" si="0"/>
        <v>Тип Автобетоносмесители</v>
      </c>
      <c r="E7" s="8" t="s">
        <v>15</v>
      </c>
      <c r="F7" s="8"/>
      <c r="G7" s="8"/>
      <c r="H7" s="9">
        <v>32</v>
      </c>
      <c r="I7" s="9">
        <v>11</v>
      </c>
      <c r="J7" s="10">
        <v>8.6999999999999993</v>
      </c>
      <c r="K7" s="10">
        <v>8.6999999999999993</v>
      </c>
      <c r="L7" s="10"/>
      <c r="M7" s="10"/>
      <c r="N7" s="10"/>
      <c r="O7" s="7">
        <v>7</v>
      </c>
    </row>
    <row r="8" spans="1:15" ht="11.1" hidden="1" customHeight="1">
      <c r="A8" s="7">
        <v>8</v>
      </c>
      <c r="B8" s="8" t="s">
        <v>13</v>
      </c>
      <c r="C8" s="8" t="s">
        <v>21</v>
      </c>
      <c r="D8" s="8" t="str">
        <f t="shared" si="0"/>
        <v>Тип Автобетоносмесители</v>
      </c>
      <c r="E8" s="8" t="s">
        <v>15</v>
      </c>
      <c r="F8" s="8"/>
      <c r="G8" s="8"/>
      <c r="H8" s="9">
        <v>42</v>
      </c>
      <c r="I8" s="9">
        <v>10</v>
      </c>
      <c r="J8" s="10">
        <v>8.6999999999999993</v>
      </c>
      <c r="K8" s="10">
        <v>8.6999999999999993</v>
      </c>
      <c r="L8" s="10"/>
      <c r="M8" s="10"/>
      <c r="N8" s="10"/>
      <c r="O8" s="7">
        <v>1</v>
      </c>
    </row>
    <row r="9" spans="1:15" ht="11.1" hidden="1" customHeight="1">
      <c r="A9" s="7">
        <v>9</v>
      </c>
      <c r="B9" s="8" t="s">
        <v>13</v>
      </c>
      <c r="C9" s="8" t="s">
        <v>22</v>
      </c>
      <c r="D9" s="8" t="str">
        <f t="shared" si="0"/>
        <v>Тип Автобетоносмесители</v>
      </c>
      <c r="E9" s="8" t="s">
        <v>15</v>
      </c>
      <c r="F9" s="8"/>
      <c r="G9" s="11">
        <v>1050</v>
      </c>
      <c r="H9" s="9">
        <v>36</v>
      </c>
      <c r="I9" s="9">
        <v>10</v>
      </c>
      <c r="J9" s="10">
        <v>8.6999999999999993</v>
      </c>
      <c r="K9" s="10">
        <v>8.6999999999999993</v>
      </c>
      <c r="L9" s="10"/>
      <c r="M9" s="10"/>
      <c r="N9" s="10"/>
      <c r="O9" s="7">
        <v>2</v>
      </c>
    </row>
    <row r="10" spans="1:15" ht="11.1" hidden="1" customHeight="1">
      <c r="A10" s="7">
        <v>10</v>
      </c>
      <c r="B10" s="8" t="s">
        <v>13</v>
      </c>
      <c r="C10" s="8" t="s">
        <v>23</v>
      </c>
      <c r="D10" s="8" t="str">
        <f t="shared" si="0"/>
        <v>Тип Автобетоносмесители</v>
      </c>
      <c r="E10" s="8" t="s">
        <v>15</v>
      </c>
      <c r="F10" s="8"/>
      <c r="G10" s="11">
        <v>1050</v>
      </c>
      <c r="H10" s="9">
        <v>55</v>
      </c>
      <c r="I10" s="9">
        <v>10</v>
      </c>
      <c r="J10" s="10">
        <v>9.8000000000000007</v>
      </c>
      <c r="K10" s="10">
        <v>9.8000000000000007</v>
      </c>
      <c r="L10" s="10"/>
      <c r="M10" s="10"/>
      <c r="N10" s="10"/>
      <c r="O10" s="7">
        <v>2</v>
      </c>
    </row>
    <row r="11" spans="1:15" ht="11.1" hidden="1" customHeight="1">
      <c r="A11" s="7">
        <v>11</v>
      </c>
      <c r="B11" s="8" t="s">
        <v>13</v>
      </c>
      <c r="C11" s="8" t="s">
        <v>24</v>
      </c>
      <c r="D11" s="8" t="str">
        <f t="shared" si="0"/>
        <v>Тип Автобетоносмесители</v>
      </c>
      <c r="E11" s="8" t="s">
        <v>15</v>
      </c>
      <c r="F11" s="8" t="s">
        <v>25</v>
      </c>
      <c r="G11" s="8"/>
      <c r="H11" s="9">
        <v>42</v>
      </c>
      <c r="I11" s="8"/>
      <c r="J11" s="10">
        <v>10.4</v>
      </c>
      <c r="K11" s="10">
        <v>10.4</v>
      </c>
      <c r="L11" s="10"/>
      <c r="M11" s="10"/>
      <c r="N11" s="10"/>
      <c r="O11" s="7">
        <v>4</v>
      </c>
    </row>
    <row r="12" spans="1:15" ht="11.1" hidden="1" customHeight="1">
      <c r="A12" s="7">
        <v>12</v>
      </c>
      <c r="B12" s="8" t="s">
        <v>13</v>
      </c>
      <c r="C12" s="8" t="s">
        <v>26</v>
      </c>
      <c r="D12" s="8" t="str">
        <f>CONCATENATE("Тип"," ",E506)</f>
        <v>Тип Автобетоносмесители</v>
      </c>
      <c r="F12" s="8"/>
      <c r="G12" s="11">
        <v>1300</v>
      </c>
      <c r="H12" s="9">
        <v>55</v>
      </c>
      <c r="I12" s="9">
        <v>3</v>
      </c>
      <c r="J12" s="10">
        <v>11.6</v>
      </c>
      <c r="K12" s="10">
        <v>11.6</v>
      </c>
      <c r="L12" s="10"/>
      <c r="M12" s="10"/>
      <c r="N12" s="10"/>
      <c r="O12" s="7">
        <v>6</v>
      </c>
    </row>
    <row r="13" spans="1:15" ht="11.1" hidden="1" customHeight="1">
      <c r="A13" s="7">
        <v>14</v>
      </c>
      <c r="B13" s="8" t="s">
        <v>13</v>
      </c>
      <c r="C13" s="8" t="s">
        <v>27</v>
      </c>
      <c r="D13" s="8" t="str">
        <f t="shared" si="0"/>
        <v>Тип Автобетоносмесители</v>
      </c>
      <c r="E13" s="8" t="s">
        <v>15</v>
      </c>
      <c r="F13" s="8"/>
      <c r="G13" s="12">
        <v>970</v>
      </c>
      <c r="H13" s="9">
        <v>39.5</v>
      </c>
      <c r="I13" s="9">
        <v>9</v>
      </c>
      <c r="J13" s="10">
        <v>9.8000000000000007</v>
      </c>
      <c r="K13" s="10">
        <v>9.8000000000000007</v>
      </c>
      <c r="L13" s="10"/>
      <c r="M13" s="10"/>
      <c r="N13" s="10"/>
      <c r="O13" s="7">
        <v>2</v>
      </c>
    </row>
    <row r="14" spans="1:15" ht="11.1" hidden="1" customHeight="1">
      <c r="A14" s="7">
        <v>15</v>
      </c>
      <c r="B14" s="8" t="s">
        <v>13</v>
      </c>
      <c r="C14" s="8" t="s">
        <v>28</v>
      </c>
      <c r="D14" s="8" t="str">
        <f t="shared" si="0"/>
        <v>Тип Автобетоносмесители</v>
      </c>
      <c r="E14" s="8" t="s">
        <v>15</v>
      </c>
      <c r="F14" s="8"/>
      <c r="G14" s="8"/>
      <c r="H14" s="9">
        <v>36.5</v>
      </c>
      <c r="I14" s="9">
        <v>8</v>
      </c>
      <c r="J14" s="10">
        <v>9.8000000000000007</v>
      </c>
      <c r="K14" s="10">
        <v>9.8000000000000007</v>
      </c>
      <c r="L14" s="10"/>
      <c r="M14" s="10"/>
      <c r="N14" s="10"/>
      <c r="O14" s="8"/>
    </row>
    <row r="15" spans="1:15" ht="11.1" hidden="1" customHeight="1">
      <c r="A15" s="7">
        <v>16</v>
      </c>
      <c r="B15" s="8" t="s">
        <v>13</v>
      </c>
      <c r="C15" s="8" t="s">
        <v>29</v>
      </c>
      <c r="D15" s="8" t="str">
        <f t="shared" si="0"/>
        <v>Тип Автобетоносмесители</v>
      </c>
      <c r="E15" s="8" t="s">
        <v>15</v>
      </c>
      <c r="F15" s="8"/>
      <c r="G15" s="12">
        <v>970</v>
      </c>
      <c r="H15" s="9">
        <v>36</v>
      </c>
      <c r="I15" s="9">
        <v>8</v>
      </c>
      <c r="J15" s="10">
        <v>9.8000000000000007</v>
      </c>
      <c r="K15" s="10">
        <v>9.8000000000000007</v>
      </c>
      <c r="L15" s="10"/>
      <c r="M15" s="10"/>
      <c r="N15" s="10"/>
      <c r="O15" s="7">
        <v>1</v>
      </c>
    </row>
    <row r="16" spans="1:15" ht="11.1" hidden="1" customHeight="1">
      <c r="A16" s="7">
        <v>17</v>
      </c>
      <c r="B16" s="8" t="s">
        <v>13</v>
      </c>
      <c r="C16" s="8" t="s">
        <v>30</v>
      </c>
      <c r="D16" s="8" t="str">
        <f t="shared" si="0"/>
        <v>Тип Автобетоносмесители</v>
      </c>
      <c r="E16" s="8" t="s">
        <v>15</v>
      </c>
      <c r="F16" s="8"/>
      <c r="G16" s="8"/>
      <c r="H16" s="9">
        <v>36</v>
      </c>
      <c r="I16" s="9">
        <v>10</v>
      </c>
      <c r="J16" s="10">
        <v>9.8000000000000007</v>
      </c>
      <c r="K16" s="10">
        <v>9.8000000000000007</v>
      </c>
      <c r="L16" s="10"/>
      <c r="M16" s="10"/>
      <c r="N16" s="10"/>
      <c r="O16" s="7">
        <v>1</v>
      </c>
    </row>
    <row r="17" spans="1:15" ht="11.1" hidden="1" customHeight="1">
      <c r="A17" s="7">
        <v>18</v>
      </c>
      <c r="B17" s="8" t="s">
        <v>13</v>
      </c>
      <c r="C17" s="8" t="s">
        <v>31</v>
      </c>
      <c r="D17" s="8" t="str">
        <f t="shared" si="0"/>
        <v>Тип Автобетоносмесители</v>
      </c>
      <c r="E17" s="8" t="s">
        <v>15</v>
      </c>
      <c r="F17" s="8"/>
      <c r="G17" s="11">
        <v>1100</v>
      </c>
      <c r="H17" s="9">
        <v>45.5</v>
      </c>
      <c r="I17" s="9">
        <v>11</v>
      </c>
      <c r="J17" s="10">
        <v>9.8000000000000007</v>
      </c>
      <c r="K17" s="10">
        <v>9.8000000000000007</v>
      </c>
      <c r="L17" s="10"/>
      <c r="M17" s="10"/>
      <c r="N17" s="10"/>
      <c r="O17" s="7">
        <v>1</v>
      </c>
    </row>
    <row r="18" spans="1:15" ht="11.1" hidden="1" customHeight="1">
      <c r="A18" s="7">
        <v>19</v>
      </c>
      <c r="B18" s="8" t="s">
        <v>13</v>
      </c>
      <c r="C18" s="8" t="s">
        <v>32</v>
      </c>
      <c r="D18" s="8" t="str">
        <f t="shared" si="0"/>
        <v>Тип Автобетоносмесители</v>
      </c>
      <c r="E18" s="8" t="s">
        <v>15</v>
      </c>
      <c r="F18" s="8" t="s">
        <v>25</v>
      </c>
      <c r="G18" s="12">
        <v>970</v>
      </c>
      <c r="H18" s="9">
        <v>38</v>
      </c>
      <c r="I18" s="9">
        <v>5</v>
      </c>
      <c r="J18" s="10">
        <v>9.8000000000000007</v>
      </c>
      <c r="K18" s="10">
        <v>9.8000000000000007</v>
      </c>
      <c r="L18" s="10"/>
      <c r="M18" s="10"/>
      <c r="N18" s="10"/>
      <c r="O18" s="7">
        <v>2</v>
      </c>
    </row>
    <row r="19" spans="1:15" ht="11.1" hidden="1" customHeight="1">
      <c r="A19" s="7">
        <v>20</v>
      </c>
      <c r="B19" s="8" t="s">
        <v>13</v>
      </c>
      <c r="C19" s="8" t="s">
        <v>33</v>
      </c>
      <c r="D19" s="8" t="str">
        <f t="shared" si="0"/>
        <v>Тип Автобетоносмесители</v>
      </c>
      <c r="E19" s="8" t="s">
        <v>15</v>
      </c>
      <c r="F19" s="8"/>
      <c r="G19" s="8"/>
      <c r="H19" s="9">
        <v>36</v>
      </c>
      <c r="I19" s="9">
        <v>6</v>
      </c>
      <c r="J19" s="10">
        <v>9.8000000000000007</v>
      </c>
      <c r="K19" s="10">
        <v>9.8000000000000007</v>
      </c>
      <c r="L19" s="10"/>
      <c r="M19" s="10"/>
      <c r="N19" s="10"/>
      <c r="O19" s="7">
        <v>1</v>
      </c>
    </row>
    <row r="20" spans="1:15" ht="11.1" hidden="1" customHeight="1">
      <c r="A20" s="7">
        <v>21</v>
      </c>
      <c r="B20" s="8" t="s">
        <v>13</v>
      </c>
      <c r="C20" s="8" t="s">
        <v>34</v>
      </c>
      <c r="D20" s="8" t="str">
        <f t="shared" si="0"/>
        <v>Тип Автобетоносмесители</v>
      </c>
      <c r="E20" s="8" t="s">
        <v>15</v>
      </c>
      <c r="F20" s="8"/>
      <c r="G20" s="8"/>
      <c r="H20" s="9">
        <v>30</v>
      </c>
      <c r="I20" s="9">
        <v>9</v>
      </c>
      <c r="J20" s="10">
        <v>9.8000000000000007</v>
      </c>
      <c r="K20" s="10">
        <v>9.8000000000000007</v>
      </c>
      <c r="L20" s="10"/>
      <c r="M20" s="10"/>
      <c r="N20" s="10"/>
      <c r="O20" s="7">
        <v>1</v>
      </c>
    </row>
    <row r="21" spans="1:15" ht="11.1" hidden="1" customHeight="1">
      <c r="A21" s="7">
        <v>22</v>
      </c>
      <c r="B21" s="8" t="s">
        <v>13</v>
      </c>
      <c r="C21" s="8" t="s">
        <v>35</v>
      </c>
      <c r="D21" s="8" t="str">
        <f t="shared" si="0"/>
        <v>Тип Автобетоносмесители</v>
      </c>
      <c r="E21" s="8" t="s">
        <v>15</v>
      </c>
      <c r="F21" s="8"/>
      <c r="G21" s="8"/>
      <c r="H21" s="9">
        <v>39.5</v>
      </c>
      <c r="I21" s="9">
        <v>4</v>
      </c>
      <c r="J21" s="10">
        <v>9.8000000000000007</v>
      </c>
      <c r="K21" s="10">
        <v>9.8000000000000007</v>
      </c>
      <c r="L21" s="10"/>
      <c r="M21" s="10"/>
      <c r="N21" s="10"/>
      <c r="O21" s="8"/>
    </row>
    <row r="22" spans="1:15" ht="11.1" hidden="1" customHeight="1">
      <c r="A22" s="7">
        <v>23</v>
      </c>
      <c r="B22" s="8" t="s">
        <v>13</v>
      </c>
      <c r="C22" s="8" t="s">
        <v>36</v>
      </c>
      <c r="D22" s="8" t="str">
        <f t="shared" si="0"/>
        <v>Тип Автобетоносмесители</v>
      </c>
      <c r="E22" s="8" t="s">
        <v>15</v>
      </c>
      <c r="F22" s="8"/>
      <c r="G22" s="8"/>
      <c r="H22" s="9">
        <v>39.5</v>
      </c>
      <c r="I22" s="8"/>
      <c r="J22" s="10">
        <v>9.8000000000000007</v>
      </c>
      <c r="K22" s="10">
        <v>9.8000000000000007</v>
      </c>
      <c r="L22" s="10"/>
      <c r="M22" s="10"/>
      <c r="N22" s="10"/>
      <c r="O22" s="7">
        <v>2</v>
      </c>
    </row>
    <row r="23" spans="1:15" ht="11.1" hidden="1" customHeight="1">
      <c r="A23" s="7">
        <v>24</v>
      </c>
      <c r="B23" s="8" t="s">
        <v>13</v>
      </c>
      <c r="C23" s="8" t="s">
        <v>37</v>
      </c>
      <c r="D23" s="8" t="str">
        <f t="shared" si="0"/>
        <v>Тип Автобетоносмесители</v>
      </c>
      <c r="E23" s="8" t="s">
        <v>15</v>
      </c>
      <c r="F23" s="8"/>
      <c r="G23" s="8"/>
      <c r="H23" s="9">
        <v>33</v>
      </c>
      <c r="I23" s="9">
        <v>8</v>
      </c>
      <c r="J23" s="10">
        <v>9.8000000000000007</v>
      </c>
      <c r="K23" s="10">
        <v>9.8000000000000007</v>
      </c>
      <c r="L23" s="10"/>
      <c r="M23" s="10"/>
      <c r="N23" s="10"/>
      <c r="O23" s="7">
        <v>2</v>
      </c>
    </row>
    <row r="24" spans="1:15" ht="11.1" hidden="1" customHeight="1">
      <c r="A24" s="7">
        <v>25</v>
      </c>
      <c r="B24" s="8" t="s">
        <v>13</v>
      </c>
      <c r="C24" s="8" t="s">
        <v>38</v>
      </c>
      <c r="D24" s="8" t="str">
        <f t="shared" si="0"/>
        <v>Тип Автобетоносмесители</v>
      </c>
      <c r="E24" s="8" t="s">
        <v>15</v>
      </c>
      <c r="F24" s="8"/>
      <c r="G24" s="11">
        <v>1050</v>
      </c>
      <c r="H24" s="9">
        <v>44</v>
      </c>
      <c r="I24" s="9">
        <v>10</v>
      </c>
      <c r="J24" s="10">
        <v>9.8000000000000007</v>
      </c>
      <c r="K24" s="10">
        <v>9.8000000000000007</v>
      </c>
      <c r="L24" s="10"/>
      <c r="M24" s="10"/>
      <c r="N24" s="10"/>
      <c r="O24" s="7">
        <v>1</v>
      </c>
    </row>
    <row r="25" spans="1:15" ht="11.1" hidden="1" customHeight="1">
      <c r="A25" s="7">
        <v>28</v>
      </c>
      <c r="B25" s="8" t="s">
        <v>13</v>
      </c>
      <c r="C25" s="8" t="s">
        <v>39</v>
      </c>
      <c r="D25" s="8" t="str">
        <f t="shared" si="0"/>
        <v>Тип Автобусы</v>
      </c>
      <c r="E25" s="8" t="s">
        <v>40</v>
      </c>
      <c r="F25" s="8" t="s">
        <v>41</v>
      </c>
      <c r="G25" s="12">
        <v>900</v>
      </c>
      <c r="H25" s="9">
        <v>14</v>
      </c>
      <c r="I25" s="8"/>
      <c r="J25" s="10">
        <v>3.5</v>
      </c>
      <c r="K25" s="10">
        <v>3.5</v>
      </c>
      <c r="L25" s="10"/>
      <c r="M25" s="10"/>
      <c r="N25" s="10"/>
      <c r="O25" s="7">
        <v>4</v>
      </c>
    </row>
    <row r="26" spans="1:15" ht="11.1" hidden="1" customHeight="1">
      <c r="A26" s="7">
        <v>29</v>
      </c>
      <c r="B26" s="8" t="s">
        <v>13</v>
      </c>
      <c r="C26" s="8" t="s">
        <v>42</v>
      </c>
      <c r="D26" s="8" t="str">
        <f t="shared" si="0"/>
        <v>Тип Автобусы</v>
      </c>
      <c r="E26" s="8" t="s">
        <v>40</v>
      </c>
      <c r="F26" s="8" t="s">
        <v>43</v>
      </c>
      <c r="G26" s="12">
        <v>900</v>
      </c>
      <c r="H26" s="9">
        <v>10</v>
      </c>
      <c r="I26" s="8"/>
      <c r="J26" s="10">
        <v>4.0999999999999996</v>
      </c>
      <c r="K26" s="10">
        <v>4.0999999999999996</v>
      </c>
      <c r="L26" s="10"/>
      <c r="M26" s="10"/>
      <c r="N26" s="10"/>
      <c r="O26" s="7">
        <v>1</v>
      </c>
    </row>
    <row r="27" spans="1:15" ht="11.1" hidden="1" customHeight="1">
      <c r="A27" s="7">
        <v>30</v>
      </c>
      <c r="B27" s="8" t="s">
        <v>13</v>
      </c>
      <c r="C27" s="8" t="s">
        <v>44</v>
      </c>
      <c r="D27" s="8" t="str">
        <f t="shared" si="0"/>
        <v>Тип Автобусы</v>
      </c>
      <c r="E27" s="8" t="s">
        <v>40</v>
      </c>
      <c r="F27" s="8" t="s">
        <v>43</v>
      </c>
      <c r="G27" s="8"/>
      <c r="H27" s="9">
        <v>38</v>
      </c>
      <c r="I27" s="8"/>
      <c r="J27" s="10">
        <v>6.8</v>
      </c>
      <c r="K27" s="10">
        <v>6.8</v>
      </c>
      <c r="L27" s="10"/>
      <c r="M27" s="10"/>
      <c r="N27" s="10"/>
      <c r="O27" s="7">
        <v>1</v>
      </c>
    </row>
    <row r="28" spans="1:15" ht="11.1" hidden="1" customHeight="1">
      <c r="A28" s="7">
        <v>31</v>
      </c>
      <c r="B28" s="8" t="s">
        <v>13</v>
      </c>
      <c r="C28" s="8" t="s">
        <v>45</v>
      </c>
      <c r="D28" s="8" t="str">
        <f t="shared" si="0"/>
        <v>Тип Автобусы</v>
      </c>
      <c r="E28" s="8" t="s">
        <v>40</v>
      </c>
      <c r="F28" s="8" t="s">
        <v>43</v>
      </c>
      <c r="G28" s="8"/>
      <c r="H28" s="9">
        <v>8.5</v>
      </c>
      <c r="I28" s="8"/>
      <c r="J28" s="10">
        <v>3.5</v>
      </c>
      <c r="K28" s="10">
        <v>3.5</v>
      </c>
      <c r="L28" s="10"/>
      <c r="M28" s="10"/>
      <c r="N28" s="10"/>
      <c r="O28" s="7">
        <v>2</v>
      </c>
    </row>
    <row r="29" spans="1:15" ht="11.1" hidden="1" customHeight="1">
      <c r="A29" s="7">
        <v>33</v>
      </c>
      <c r="B29" s="8" t="s">
        <v>13</v>
      </c>
      <c r="C29" s="8" t="s">
        <v>46</v>
      </c>
      <c r="D29" s="8" t="str">
        <f t="shared" si="0"/>
        <v>Тип Автобусы</v>
      </c>
      <c r="E29" s="8" t="s">
        <v>40</v>
      </c>
      <c r="F29" s="8" t="s">
        <v>43</v>
      </c>
      <c r="G29" s="11">
        <v>1100</v>
      </c>
      <c r="H29" s="9">
        <v>28</v>
      </c>
      <c r="I29" s="8"/>
      <c r="J29" s="10">
        <v>5.2</v>
      </c>
      <c r="K29" s="10">
        <v>5.2</v>
      </c>
      <c r="L29" s="10"/>
      <c r="M29" s="10"/>
      <c r="N29" s="10"/>
      <c r="O29" s="7">
        <v>1</v>
      </c>
    </row>
    <row r="30" spans="1:15" ht="11.1" hidden="1" customHeight="1">
      <c r="A30" s="7">
        <v>36</v>
      </c>
      <c r="B30" s="8" t="s">
        <v>13</v>
      </c>
      <c r="C30" s="8" t="s">
        <v>47</v>
      </c>
      <c r="D30" s="8" t="str">
        <f t="shared" si="0"/>
        <v>Тип Автобусы</v>
      </c>
      <c r="E30" s="8" t="s">
        <v>40</v>
      </c>
      <c r="F30" s="8" t="s">
        <v>43</v>
      </c>
      <c r="G30" s="12">
        <v>700</v>
      </c>
      <c r="H30" s="9">
        <v>17</v>
      </c>
      <c r="I30" s="8"/>
      <c r="J30" s="10">
        <v>4.2</v>
      </c>
      <c r="K30" s="10">
        <v>4.2</v>
      </c>
      <c r="L30" s="10"/>
      <c r="M30" s="10"/>
      <c r="N30" s="10"/>
      <c r="O30" s="7">
        <v>2</v>
      </c>
    </row>
    <row r="31" spans="1:15" ht="11.1" hidden="1" customHeight="1">
      <c r="A31" s="7">
        <v>37</v>
      </c>
      <c r="B31" s="8" t="s">
        <v>13</v>
      </c>
      <c r="C31" s="8" t="s">
        <v>48</v>
      </c>
      <c r="D31" s="8" t="str">
        <f t="shared" si="0"/>
        <v>Тип Автобусы</v>
      </c>
      <c r="E31" s="8" t="s">
        <v>40</v>
      </c>
      <c r="F31" s="8" t="s">
        <v>43</v>
      </c>
      <c r="G31" s="12">
        <v>700</v>
      </c>
      <c r="H31" s="9">
        <v>15</v>
      </c>
      <c r="I31" s="8"/>
      <c r="J31" s="10">
        <v>4.2</v>
      </c>
      <c r="K31" s="10">
        <v>4.2</v>
      </c>
      <c r="L31" s="10"/>
      <c r="M31" s="10"/>
      <c r="N31" s="10"/>
      <c r="O31" s="7">
        <v>1</v>
      </c>
    </row>
    <row r="32" spans="1:15" ht="11.1" hidden="1" customHeight="1">
      <c r="A32" s="7">
        <v>38</v>
      </c>
      <c r="B32" s="8" t="s">
        <v>13</v>
      </c>
      <c r="C32" s="8" t="s">
        <v>49</v>
      </c>
      <c r="D32" s="8" t="str">
        <f t="shared" si="0"/>
        <v>Тип Автобусы</v>
      </c>
      <c r="E32" s="8" t="s">
        <v>40</v>
      </c>
      <c r="F32" s="8" t="s">
        <v>43</v>
      </c>
      <c r="G32" s="8"/>
      <c r="H32" s="9">
        <v>18</v>
      </c>
      <c r="I32" s="8"/>
      <c r="J32" s="10">
        <v>4.2</v>
      </c>
      <c r="K32" s="10">
        <v>4.2</v>
      </c>
      <c r="L32" s="10"/>
      <c r="M32" s="10"/>
      <c r="N32" s="10"/>
      <c r="O32" s="8"/>
    </row>
    <row r="33" spans="1:15" ht="11.1" hidden="1" customHeight="1">
      <c r="A33" s="7">
        <v>39</v>
      </c>
      <c r="B33" s="8" t="s">
        <v>13</v>
      </c>
      <c r="C33" s="8" t="s">
        <v>50</v>
      </c>
      <c r="D33" s="8" t="str">
        <f t="shared" si="0"/>
        <v>Тип Автобусы</v>
      </c>
      <c r="E33" s="8" t="s">
        <v>40</v>
      </c>
      <c r="F33" s="8" t="s">
        <v>43</v>
      </c>
      <c r="G33" s="12">
        <v>700</v>
      </c>
      <c r="H33" s="9">
        <v>18</v>
      </c>
      <c r="I33" s="8"/>
      <c r="J33" s="10">
        <v>4.2</v>
      </c>
      <c r="K33" s="10">
        <v>4.2</v>
      </c>
      <c r="L33" s="10"/>
      <c r="M33" s="10"/>
      <c r="N33" s="10"/>
      <c r="O33" s="7">
        <v>1</v>
      </c>
    </row>
    <row r="34" spans="1:15" ht="11.1" hidden="1" customHeight="1">
      <c r="A34" s="7">
        <v>40</v>
      </c>
      <c r="B34" s="8" t="s">
        <v>13</v>
      </c>
      <c r="C34" s="8" t="s">
        <v>51</v>
      </c>
      <c r="D34" s="8" t="str">
        <f t="shared" si="0"/>
        <v>Тип Автобусы</v>
      </c>
      <c r="E34" s="8" t="s">
        <v>40</v>
      </c>
      <c r="F34" s="8" t="s">
        <v>43</v>
      </c>
      <c r="G34" s="12">
        <v>700</v>
      </c>
      <c r="H34" s="9">
        <v>20</v>
      </c>
      <c r="I34" s="8"/>
      <c r="J34" s="10">
        <v>4.2</v>
      </c>
      <c r="K34" s="10">
        <v>4.2</v>
      </c>
      <c r="L34" s="10"/>
      <c r="M34" s="10"/>
      <c r="N34" s="10"/>
      <c r="O34" s="8"/>
    </row>
    <row r="35" spans="1:15" ht="11.1" hidden="1" customHeight="1">
      <c r="A35" s="7">
        <v>41</v>
      </c>
      <c r="B35" s="8" t="s">
        <v>13</v>
      </c>
      <c r="C35" s="8" t="s">
        <v>52</v>
      </c>
      <c r="D35" s="8" t="str">
        <f t="shared" si="0"/>
        <v>Тип Автобусы</v>
      </c>
      <c r="E35" s="8" t="s">
        <v>40</v>
      </c>
      <c r="F35" s="8" t="s">
        <v>43</v>
      </c>
      <c r="G35" s="8"/>
      <c r="H35" s="9">
        <v>20</v>
      </c>
      <c r="I35" s="8"/>
      <c r="J35" s="10">
        <v>4.2</v>
      </c>
      <c r="K35" s="10">
        <v>4.2</v>
      </c>
      <c r="L35" s="10"/>
      <c r="M35" s="10"/>
      <c r="N35" s="10"/>
      <c r="O35" s="8"/>
    </row>
    <row r="36" spans="1:15" ht="11.1" hidden="1" customHeight="1">
      <c r="A36" s="7">
        <v>42</v>
      </c>
      <c r="B36" s="8" t="s">
        <v>13</v>
      </c>
      <c r="C36" s="8" t="s">
        <v>53</v>
      </c>
      <c r="D36" s="8" t="str">
        <f t="shared" si="0"/>
        <v>Тип Автобусы</v>
      </c>
      <c r="E36" s="8" t="s">
        <v>40</v>
      </c>
      <c r="F36" s="8" t="s">
        <v>43</v>
      </c>
      <c r="G36" s="8"/>
      <c r="H36" s="9">
        <v>17</v>
      </c>
      <c r="I36" s="8"/>
      <c r="J36" s="10">
        <v>4.2</v>
      </c>
      <c r="K36" s="10">
        <v>4.2</v>
      </c>
      <c r="L36" s="10"/>
      <c r="M36" s="10"/>
      <c r="N36" s="10"/>
      <c r="O36" s="8"/>
    </row>
    <row r="37" spans="1:15" ht="11.1" hidden="1" customHeight="1">
      <c r="A37" s="7">
        <v>43</v>
      </c>
      <c r="B37" s="8" t="s">
        <v>13</v>
      </c>
      <c r="C37" s="8" t="s">
        <v>54</v>
      </c>
      <c r="D37" s="8" t="str">
        <f t="shared" si="0"/>
        <v>Тип Автобусы</v>
      </c>
      <c r="E37" s="8" t="s">
        <v>40</v>
      </c>
      <c r="F37" s="8" t="s">
        <v>43</v>
      </c>
      <c r="G37" s="8"/>
      <c r="H37" s="9">
        <v>16</v>
      </c>
      <c r="I37" s="8"/>
      <c r="J37" s="10">
        <v>4.2</v>
      </c>
      <c r="K37" s="10">
        <v>4.2</v>
      </c>
      <c r="L37" s="10"/>
      <c r="M37" s="10"/>
      <c r="N37" s="10"/>
      <c r="O37" s="8"/>
    </row>
    <row r="38" spans="1:15" ht="11.1" hidden="1" customHeight="1">
      <c r="A38" s="7">
        <v>45</v>
      </c>
      <c r="B38" s="8" t="s">
        <v>13</v>
      </c>
      <c r="C38" s="8" t="s">
        <v>55</v>
      </c>
      <c r="D38" s="8" t="str">
        <f t="shared" si="0"/>
        <v>Тип Автобусы</v>
      </c>
      <c r="E38" s="8" t="s">
        <v>40</v>
      </c>
      <c r="F38" s="8" t="s">
        <v>43</v>
      </c>
      <c r="G38" s="8"/>
      <c r="H38" s="9">
        <v>31.95</v>
      </c>
      <c r="I38" s="8"/>
      <c r="J38" s="10">
        <v>10</v>
      </c>
      <c r="K38" s="10">
        <v>10</v>
      </c>
      <c r="L38" s="10"/>
      <c r="M38" s="10"/>
      <c r="N38" s="10"/>
      <c r="O38" s="8"/>
    </row>
    <row r="39" spans="1:15" ht="11.1" hidden="1" customHeight="1">
      <c r="A39" s="7">
        <v>46</v>
      </c>
      <c r="B39" s="8" t="s">
        <v>13</v>
      </c>
      <c r="C39" s="8" t="s">
        <v>56</v>
      </c>
      <c r="D39" s="8" t="str">
        <f t="shared" si="0"/>
        <v>Тип Автобусы</v>
      </c>
      <c r="E39" s="8" t="s">
        <v>40</v>
      </c>
      <c r="F39" s="8" t="s">
        <v>43</v>
      </c>
      <c r="G39" s="8"/>
      <c r="H39" s="9">
        <v>30</v>
      </c>
      <c r="I39" s="8"/>
      <c r="J39" s="10">
        <v>10</v>
      </c>
      <c r="K39" s="10">
        <v>10</v>
      </c>
      <c r="L39" s="10"/>
      <c r="M39" s="10"/>
      <c r="N39" s="10"/>
      <c r="O39" s="7">
        <v>2</v>
      </c>
    </row>
    <row r="40" spans="1:15" ht="11.1" hidden="1" customHeight="1">
      <c r="A40" s="7">
        <v>47</v>
      </c>
      <c r="B40" s="8" t="s">
        <v>13</v>
      </c>
      <c r="C40" s="8" t="s">
        <v>57</v>
      </c>
      <c r="D40" s="8" t="str">
        <f t="shared" si="0"/>
        <v>Тип Автобусы</v>
      </c>
      <c r="E40" s="8" t="s">
        <v>40</v>
      </c>
      <c r="F40" s="8" t="s">
        <v>43</v>
      </c>
      <c r="G40" s="8"/>
      <c r="H40" s="9">
        <v>28</v>
      </c>
      <c r="I40" s="8"/>
      <c r="J40" s="10">
        <v>10</v>
      </c>
      <c r="K40" s="10">
        <v>10</v>
      </c>
      <c r="L40" s="10"/>
      <c r="M40" s="10"/>
      <c r="N40" s="10"/>
      <c r="O40" s="8"/>
    </row>
    <row r="41" spans="1:15" ht="11.1" hidden="1" customHeight="1">
      <c r="A41" s="7">
        <v>48</v>
      </c>
      <c r="B41" s="8" t="s">
        <v>13</v>
      </c>
      <c r="C41" s="8" t="s">
        <v>58</v>
      </c>
      <c r="D41" s="8" t="str">
        <f t="shared" si="0"/>
        <v>Тип Автобусы</v>
      </c>
      <c r="E41" s="8" t="s">
        <v>40</v>
      </c>
      <c r="F41" s="8" t="s">
        <v>43</v>
      </c>
      <c r="G41" s="8"/>
      <c r="H41" s="9">
        <v>29.5</v>
      </c>
      <c r="I41" s="8"/>
      <c r="J41" s="10">
        <v>10</v>
      </c>
      <c r="K41" s="10">
        <v>10</v>
      </c>
      <c r="L41" s="10"/>
      <c r="M41" s="10"/>
      <c r="N41" s="10"/>
      <c r="O41" s="8"/>
    </row>
    <row r="42" spans="1:15" ht="11.1" hidden="1" customHeight="1">
      <c r="A42" s="7">
        <v>49</v>
      </c>
      <c r="B42" s="8" t="s">
        <v>13</v>
      </c>
      <c r="C42" s="8" t="s">
        <v>59</v>
      </c>
      <c r="D42" s="8" t="str">
        <f t="shared" si="0"/>
        <v>Тип Автобусы</v>
      </c>
      <c r="E42" s="8" t="s">
        <v>40</v>
      </c>
      <c r="F42" s="8" t="s">
        <v>43</v>
      </c>
      <c r="G42" s="8"/>
      <c r="H42" s="9">
        <v>35.700000000000003</v>
      </c>
      <c r="I42" s="8"/>
      <c r="J42" s="10">
        <v>10</v>
      </c>
      <c r="K42" s="10">
        <v>10</v>
      </c>
      <c r="L42" s="10"/>
      <c r="M42" s="10"/>
      <c r="N42" s="10"/>
      <c r="O42" s="8"/>
    </row>
    <row r="43" spans="1:15" ht="11.1" hidden="1" customHeight="1">
      <c r="A43" s="7">
        <v>50</v>
      </c>
      <c r="B43" s="8" t="s">
        <v>13</v>
      </c>
      <c r="C43" s="8" t="s">
        <v>60</v>
      </c>
      <c r="D43" s="8" t="str">
        <f t="shared" si="0"/>
        <v>Тип Автобусы</v>
      </c>
      <c r="E43" s="8" t="s">
        <v>40</v>
      </c>
      <c r="F43" s="8" t="s">
        <v>43</v>
      </c>
      <c r="G43" s="8"/>
      <c r="H43" s="9">
        <v>35.700000000000003</v>
      </c>
      <c r="I43" s="8"/>
      <c r="J43" s="10">
        <v>10</v>
      </c>
      <c r="K43" s="10">
        <v>10</v>
      </c>
      <c r="L43" s="10"/>
      <c r="M43" s="10"/>
      <c r="N43" s="10"/>
      <c r="O43" s="8"/>
    </row>
    <row r="44" spans="1:15" ht="11.1" hidden="1" customHeight="1">
      <c r="A44" s="7">
        <v>51</v>
      </c>
      <c r="B44" s="8" t="s">
        <v>13</v>
      </c>
      <c r="C44" s="8" t="s">
        <v>61</v>
      </c>
      <c r="D44" s="8" t="str">
        <f t="shared" si="0"/>
        <v>Тип Автобусы</v>
      </c>
      <c r="E44" s="8" t="s">
        <v>40</v>
      </c>
      <c r="F44" s="8" t="s">
        <v>43</v>
      </c>
      <c r="G44" s="8"/>
      <c r="H44" s="9">
        <v>20</v>
      </c>
      <c r="I44" s="8"/>
      <c r="J44" s="10">
        <v>10</v>
      </c>
      <c r="K44" s="10">
        <v>10</v>
      </c>
      <c r="L44" s="10"/>
      <c r="M44" s="10"/>
      <c r="N44" s="10"/>
      <c r="O44" s="7">
        <v>1</v>
      </c>
    </row>
    <row r="45" spans="1:15" ht="11.1" hidden="1" customHeight="1">
      <c r="A45" s="7">
        <v>52</v>
      </c>
      <c r="B45" s="8" t="s">
        <v>13</v>
      </c>
      <c r="C45" s="8" t="s">
        <v>62</v>
      </c>
      <c r="D45" s="8" t="str">
        <f t="shared" si="0"/>
        <v>Тип Автобусы</v>
      </c>
      <c r="E45" s="8" t="s">
        <v>40</v>
      </c>
      <c r="F45" s="8" t="s">
        <v>43</v>
      </c>
      <c r="G45" s="11">
        <v>1000</v>
      </c>
      <c r="H45" s="9">
        <v>30</v>
      </c>
      <c r="I45" s="8"/>
      <c r="J45" s="10">
        <v>9</v>
      </c>
      <c r="K45" s="10">
        <v>9</v>
      </c>
      <c r="L45" s="10"/>
      <c r="M45" s="10"/>
      <c r="N45" s="10"/>
      <c r="O45" s="7">
        <v>3</v>
      </c>
    </row>
    <row r="46" spans="1:15" ht="11.1" hidden="1" customHeight="1">
      <c r="A46" s="7">
        <v>53</v>
      </c>
      <c r="B46" s="8" t="s">
        <v>13</v>
      </c>
      <c r="C46" s="8" t="s">
        <v>63</v>
      </c>
      <c r="D46" s="8" t="str">
        <f t="shared" si="0"/>
        <v>Тип Автобусы</v>
      </c>
      <c r="E46" s="8" t="s">
        <v>40</v>
      </c>
      <c r="F46" s="8" t="s">
        <v>43</v>
      </c>
      <c r="G46" s="11">
        <v>1000</v>
      </c>
      <c r="H46" s="9">
        <v>30</v>
      </c>
      <c r="I46" s="8"/>
      <c r="J46" s="10">
        <v>9</v>
      </c>
      <c r="K46" s="10">
        <v>9</v>
      </c>
      <c r="L46" s="10"/>
      <c r="M46" s="10"/>
      <c r="N46" s="10"/>
      <c r="O46" s="7">
        <v>7</v>
      </c>
    </row>
    <row r="47" spans="1:15" ht="11.1" hidden="1" customHeight="1">
      <c r="A47" s="7">
        <v>54</v>
      </c>
      <c r="B47" s="8" t="s">
        <v>13</v>
      </c>
      <c r="C47" s="8" t="s">
        <v>64</v>
      </c>
      <c r="D47" s="8" t="str">
        <f t="shared" si="0"/>
        <v>Тип Автобусы</v>
      </c>
      <c r="E47" s="8" t="s">
        <v>40</v>
      </c>
      <c r="F47" s="8" t="s">
        <v>43</v>
      </c>
      <c r="G47" s="11">
        <v>1000</v>
      </c>
      <c r="H47" s="9">
        <v>30</v>
      </c>
      <c r="I47" s="8"/>
      <c r="J47" s="10">
        <v>8.1</v>
      </c>
      <c r="K47" s="10">
        <v>8.1</v>
      </c>
      <c r="L47" s="10"/>
      <c r="M47" s="10"/>
      <c r="N47" s="10"/>
      <c r="O47" s="7">
        <v>5</v>
      </c>
    </row>
    <row r="48" spans="1:15" ht="11.1" hidden="1" customHeight="1">
      <c r="A48" s="7">
        <v>55</v>
      </c>
      <c r="B48" s="8" t="s">
        <v>13</v>
      </c>
      <c r="C48" s="8" t="s">
        <v>65</v>
      </c>
      <c r="D48" s="8" t="str">
        <f t="shared" si="0"/>
        <v>Тип Автобусы</v>
      </c>
      <c r="E48" s="8" t="s">
        <v>40</v>
      </c>
      <c r="F48" s="8" t="s">
        <v>43</v>
      </c>
      <c r="G48" s="8"/>
      <c r="H48" s="9">
        <v>30</v>
      </c>
      <c r="I48" s="8"/>
      <c r="J48" s="10">
        <v>8.1</v>
      </c>
      <c r="K48" s="10">
        <v>8.1</v>
      </c>
      <c r="L48" s="10"/>
      <c r="M48" s="10"/>
      <c r="N48" s="10"/>
      <c r="O48" s="7">
        <v>1</v>
      </c>
    </row>
    <row r="49" spans="1:15" ht="11.1" hidden="1" customHeight="1">
      <c r="A49" s="7">
        <v>56</v>
      </c>
      <c r="B49" s="8" t="s">
        <v>13</v>
      </c>
      <c r="C49" s="8" t="s">
        <v>66</v>
      </c>
      <c r="D49" s="8" t="str">
        <f t="shared" si="0"/>
        <v>Тип Автобусы</v>
      </c>
      <c r="E49" s="8" t="s">
        <v>40</v>
      </c>
      <c r="F49" s="8" t="s">
        <v>43</v>
      </c>
      <c r="G49" s="8"/>
      <c r="H49" s="9">
        <v>27</v>
      </c>
      <c r="I49" s="9">
        <v>0.5</v>
      </c>
      <c r="J49" s="10">
        <v>15.3</v>
      </c>
      <c r="K49" s="10">
        <v>15.3</v>
      </c>
      <c r="L49" s="10"/>
      <c r="M49" s="10"/>
      <c r="N49" s="10"/>
      <c r="O49" s="7">
        <v>2</v>
      </c>
    </row>
    <row r="50" spans="1:15" ht="11.1" hidden="1" customHeight="1">
      <c r="A50" s="7">
        <v>61</v>
      </c>
      <c r="B50" s="8" t="s">
        <v>13</v>
      </c>
      <c r="C50" s="8" t="s">
        <v>67</v>
      </c>
      <c r="D50" s="8" t="str">
        <f t="shared" si="0"/>
        <v>Тип Автобусы</v>
      </c>
      <c r="E50" s="8" t="s">
        <v>40</v>
      </c>
      <c r="F50" s="8" t="s">
        <v>43</v>
      </c>
      <c r="G50" s="8"/>
      <c r="H50" s="9">
        <v>40</v>
      </c>
      <c r="I50" s="8"/>
      <c r="J50" s="10">
        <v>11.6</v>
      </c>
      <c r="K50" s="10">
        <v>11.6</v>
      </c>
      <c r="L50" s="10"/>
      <c r="M50" s="10"/>
      <c r="N50" s="10"/>
      <c r="O50" s="7">
        <v>1</v>
      </c>
    </row>
    <row r="51" spans="1:15" ht="11.1" hidden="1" customHeight="1">
      <c r="A51" s="7">
        <v>62</v>
      </c>
      <c r="B51" s="8" t="s">
        <v>13</v>
      </c>
      <c r="C51" s="8" t="s">
        <v>68</v>
      </c>
      <c r="D51" s="8" t="str">
        <f t="shared" si="0"/>
        <v>Тип Автобусы</v>
      </c>
      <c r="E51" s="8" t="s">
        <v>40</v>
      </c>
      <c r="F51" s="8" t="s">
        <v>43</v>
      </c>
      <c r="G51" s="8"/>
      <c r="H51" s="9">
        <v>35</v>
      </c>
      <c r="I51" s="8"/>
      <c r="J51" s="10">
        <v>15.3</v>
      </c>
      <c r="K51" s="10">
        <v>15.3</v>
      </c>
      <c r="L51" s="10"/>
      <c r="M51" s="10"/>
      <c r="N51" s="10"/>
      <c r="O51" s="7">
        <v>1</v>
      </c>
    </row>
    <row r="52" spans="1:15" ht="11.1" hidden="1" customHeight="1">
      <c r="A52" s="7">
        <v>63</v>
      </c>
      <c r="B52" s="8" t="s">
        <v>13</v>
      </c>
      <c r="C52" s="8" t="s">
        <v>69</v>
      </c>
      <c r="D52" s="8" t="str">
        <f t="shared" si="0"/>
        <v>Тип Автобусы</v>
      </c>
      <c r="E52" s="8" t="s">
        <v>40</v>
      </c>
      <c r="F52" s="8" t="s">
        <v>43</v>
      </c>
      <c r="G52" s="8"/>
      <c r="H52" s="9">
        <v>32.9</v>
      </c>
      <c r="I52" s="8"/>
      <c r="J52" s="10">
        <v>15.3</v>
      </c>
      <c r="K52" s="10">
        <v>15.3</v>
      </c>
      <c r="L52" s="10"/>
      <c r="M52" s="10"/>
      <c r="N52" s="10"/>
      <c r="O52" s="8"/>
    </row>
    <row r="53" spans="1:15" ht="11.1" hidden="1" customHeight="1">
      <c r="A53" s="7">
        <v>64</v>
      </c>
      <c r="B53" s="8" t="s">
        <v>13</v>
      </c>
      <c r="C53" s="8" t="s">
        <v>70</v>
      </c>
      <c r="D53" s="8" t="str">
        <f t="shared" si="0"/>
        <v>Тип Автобусы</v>
      </c>
      <c r="E53" s="8" t="s">
        <v>40</v>
      </c>
      <c r="F53" s="8" t="s">
        <v>43</v>
      </c>
      <c r="G53" s="8"/>
      <c r="H53" s="9">
        <v>32.9</v>
      </c>
      <c r="I53" s="8"/>
      <c r="J53" s="10">
        <v>15.3</v>
      </c>
      <c r="K53" s="10">
        <v>15.3</v>
      </c>
      <c r="L53" s="10"/>
      <c r="M53" s="10"/>
      <c r="N53" s="10"/>
      <c r="O53" s="7">
        <v>1</v>
      </c>
    </row>
    <row r="54" spans="1:15" ht="11.1" hidden="1" customHeight="1">
      <c r="A54" s="7">
        <v>65</v>
      </c>
      <c r="B54" s="8" t="s">
        <v>13</v>
      </c>
      <c r="C54" s="8" t="s">
        <v>71</v>
      </c>
      <c r="D54" s="8" t="str">
        <f t="shared" si="0"/>
        <v>Тип Автобусы</v>
      </c>
      <c r="E54" s="8" t="s">
        <v>40</v>
      </c>
      <c r="F54" s="8" t="s">
        <v>43</v>
      </c>
      <c r="G54" s="11">
        <v>1200</v>
      </c>
      <c r="H54" s="9">
        <v>38.5</v>
      </c>
      <c r="I54" s="8"/>
      <c r="J54" s="10">
        <v>15.3</v>
      </c>
      <c r="K54" s="10">
        <v>15.3</v>
      </c>
      <c r="L54" s="10"/>
      <c r="M54" s="10"/>
      <c r="N54" s="10"/>
      <c r="O54" s="7">
        <v>1</v>
      </c>
    </row>
    <row r="55" spans="1:15" ht="11.1" hidden="1" customHeight="1">
      <c r="A55" s="7">
        <v>66</v>
      </c>
      <c r="B55" s="8" t="s">
        <v>13</v>
      </c>
      <c r="C55" s="8" t="s">
        <v>72</v>
      </c>
      <c r="D55" s="8" t="str">
        <f t="shared" si="0"/>
        <v>Тип Автобусы</v>
      </c>
      <c r="E55" s="8" t="s">
        <v>40</v>
      </c>
      <c r="F55" s="8" t="s">
        <v>43</v>
      </c>
      <c r="G55" s="11">
        <v>1000</v>
      </c>
      <c r="H55" s="9">
        <v>40</v>
      </c>
      <c r="I55" s="8"/>
      <c r="J55" s="10">
        <v>15.3</v>
      </c>
      <c r="K55" s="10">
        <v>15.3</v>
      </c>
      <c r="L55" s="10"/>
      <c r="M55" s="10"/>
      <c r="N55" s="10"/>
      <c r="O55" s="7">
        <v>5</v>
      </c>
    </row>
    <row r="56" spans="1:15" ht="11.1" hidden="1" customHeight="1">
      <c r="A56" s="7">
        <v>67</v>
      </c>
      <c r="B56" s="8" t="s">
        <v>13</v>
      </c>
      <c r="C56" s="8" t="s">
        <v>73</v>
      </c>
      <c r="D56" s="8" t="str">
        <f t="shared" si="0"/>
        <v>Тип Автобусы</v>
      </c>
      <c r="E56" s="8" t="s">
        <v>40</v>
      </c>
      <c r="F56" s="8" t="s">
        <v>43</v>
      </c>
      <c r="G56" s="11">
        <v>1150</v>
      </c>
      <c r="H56" s="9">
        <v>32.9</v>
      </c>
      <c r="I56" s="8"/>
      <c r="J56" s="10">
        <v>15.3</v>
      </c>
      <c r="K56" s="10">
        <v>15.3</v>
      </c>
      <c r="L56" s="10"/>
      <c r="M56" s="10"/>
      <c r="N56" s="10"/>
      <c r="O56" s="7">
        <v>1</v>
      </c>
    </row>
    <row r="57" spans="1:15" ht="11.1" hidden="1" customHeight="1">
      <c r="A57" s="7">
        <v>68</v>
      </c>
      <c r="B57" s="8" t="s">
        <v>13</v>
      </c>
      <c r="C57" s="8" t="s">
        <v>74</v>
      </c>
      <c r="D57" s="8" t="str">
        <f t="shared" si="0"/>
        <v>Тип Автобусы</v>
      </c>
      <c r="E57" s="8" t="s">
        <v>40</v>
      </c>
      <c r="F57" s="8" t="s">
        <v>43</v>
      </c>
      <c r="G57" s="8"/>
      <c r="H57" s="9">
        <v>36.4</v>
      </c>
      <c r="I57" s="8"/>
      <c r="J57" s="10">
        <v>15.3</v>
      </c>
      <c r="K57" s="10">
        <v>15.3</v>
      </c>
      <c r="L57" s="10"/>
      <c r="M57" s="10"/>
      <c r="N57" s="10"/>
      <c r="O57" s="7">
        <v>1</v>
      </c>
    </row>
    <row r="58" spans="1:15" ht="11.1" hidden="1" customHeight="1">
      <c r="A58" s="7">
        <v>69</v>
      </c>
      <c r="B58" s="8" t="s">
        <v>13</v>
      </c>
      <c r="C58" s="8" t="s">
        <v>75</v>
      </c>
      <c r="D58" s="8" t="str">
        <f t="shared" si="0"/>
        <v>Тип Автобусы</v>
      </c>
      <c r="E58" s="8" t="s">
        <v>40</v>
      </c>
      <c r="F58" s="8" t="s">
        <v>43</v>
      </c>
      <c r="G58" s="12">
        <v>930</v>
      </c>
      <c r="H58" s="9">
        <v>43</v>
      </c>
      <c r="I58" s="8"/>
      <c r="J58" s="10">
        <v>7.4</v>
      </c>
      <c r="K58" s="10">
        <v>7.4</v>
      </c>
      <c r="L58" s="10"/>
      <c r="M58" s="10"/>
      <c r="N58" s="10"/>
      <c r="O58" s="8"/>
    </row>
    <row r="59" spans="1:15" ht="11.1" hidden="1" customHeight="1">
      <c r="A59" s="7">
        <v>70</v>
      </c>
      <c r="B59" s="8" t="s">
        <v>13</v>
      </c>
      <c r="C59" s="8" t="s">
        <v>76</v>
      </c>
      <c r="D59" s="8" t="str">
        <f t="shared" si="0"/>
        <v>Тип Автобусы</v>
      </c>
      <c r="E59" s="8" t="s">
        <v>40</v>
      </c>
      <c r="F59" s="8" t="s">
        <v>43</v>
      </c>
      <c r="G59" s="12">
        <v>930</v>
      </c>
      <c r="H59" s="9">
        <v>32</v>
      </c>
      <c r="I59" s="8"/>
      <c r="J59" s="10">
        <v>7.4</v>
      </c>
      <c r="K59" s="10">
        <v>7.4</v>
      </c>
      <c r="L59" s="10"/>
      <c r="M59" s="10"/>
      <c r="N59" s="10"/>
      <c r="O59" s="7">
        <v>1</v>
      </c>
    </row>
    <row r="60" spans="1:15" ht="11.1" hidden="1" customHeight="1">
      <c r="A60" s="7">
        <v>71</v>
      </c>
      <c r="B60" s="8" t="s">
        <v>13</v>
      </c>
      <c r="C60" s="8" t="s">
        <v>77</v>
      </c>
      <c r="D60" s="8" t="str">
        <f t="shared" si="0"/>
        <v>Тип Автобусы</v>
      </c>
      <c r="E60" s="8" t="s">
        <v>40</v>
      </c>
      <c r="F60" s="8" t="s">
        <v>43</v>
      </c>
      <c r="G60" s="8"/>
      <c r="H60" s="9">
        <v>43</v>
      </c>
      <c r="I60" s="8"/>
      <c r="J60" s="10">
        <v>7.4</v>
      </c>
      <c r="K60" s="10">
        <v>7.4</v>
      </c>
      <c r="L60" s="10"/>
      <c r="M60" s="10"/>
      <c r="N60" s="10"/>
      <c r="O60" s="8"/>
    </row>
    <row r="61" spans="1:15" ht="11.1" hidden="1" customHeight="1">
      <c r="A61" s="7">
        <v>72</v>
      </c>
      <c r="B61" s="8" t="s">
        <v>13</v>
      </c>
      <c r="C61" s="8" t="s">
        <v>78</v>
      </c>
      <c r="D61" s="8" t="str">
        <f t="shared" si="0"/>
        <v>Тип Автобусы</v>
      </c>
      <c r="E61" s="8" t="s">
        <v>40</v>
      </c>
      <c r="F61" s="8" t="s">
        <v>43</v>
      </c>
      <c r="G61" s="12">
        <v>930</v>
      </c>
      <c r="H61" s="9">
        <v>28.5</v>
      </c>
      <c r="I61" s="8"/>
      <c r="J61" s="10">
        <v>7.4</v>
      </c>
      <c r="K61" s="10">
        <v>7.4</v>
      </c>
      <c r="L61" s="10"/>
      <c r="M61" s="10"/>
      <c r="N61" s="10"/>
      <c r="O61" s="7">
        <v>3</v>
      </c>
    </row>
    <row r="62" spans="1:15" ht="11.1" hidden="1" customHeight="1">
      <c r="A62" s="7">
        <v>73</v>
      </c>
      <c r="B62" s="8" t="s">
        <v>13</v>
      </c>
      <c r="C62" s="8" t="s">
        <v>79</v>
      </c>
      <c r="D62" s="8" t="str">
        <f t="shared" si="0"/>
        <v>Тип Автобусы</v>
      </c>
      <c r="E62" s="8" t="s">
        <v>40</v>
      </c>
      <c r="F62" s="8" t="s">
        <v>43</v>
      </c>
      <c r="G62" s="12">
        <v>930</v>
      </c>
      <c r="H62" s="9">
        <v>29</v>
      </c>
      <c r="I62" s="8"/>
      <c r="J62" s="10">
        <v>7.4</v>
      </c>
      <c r="K62" s="10">
        <v>7.4</v>
      </c>
      <c r="L62" s="10"/>
      <c r="M62" s="10"/>
      <c r="N62" s="10"/>
      <c r="O62" s="7">
        <v>3</v>
      </c>
    </row>
    <row r="63" spans="1:15" ht="11.1" hidden="1" customHeight="1">
      <c r="A63" s="7">
        <v>74</v>
      </c>
      <c r="B63" s="8" t="s">
        <v>13</v>
      </c>
      <c r="C63" s="8" t="s">
        <v>80</v>
      </c>
      <c r="D63" s="8" t="str">
        <f t="shared" si="0"/>
        <v>Тип Автобусы</v>
      </c>
      <c r="E63" s="8" t="s">
        <v>40</v>
      </c>
      <c r="F63" s="8"/>
      <c r="G63" s="8"/>
      <c r="H63" s="9">
        <v>36</v>
      </c>
      <c r="I63" s="8"/>
      <c r="J63" s="10">
        <v>7.4</v>
      </c>
      <c r="K63" s="10">
        <v>7.4</v>
      </c>
      <c r="L63" s="10"/>
      <c r="M63" s="10"/>
      <c r="N63" s="10"/>
      <c r="O63" s="8"/>
    </row>
    <row r="64" spans="1:15" ht="11.1" hidden="1" customHeight="1">
      <c r="A64" s="7">
        <v>75</v>
      </c>
      <c r="B64" s="8" t="s">
        <v>13</v>
      </c>
      <c r="C64" s="8" t="s">
        <v>81</v>
      </c>
      <c r="D64" s="8" t="str">
        <f t="shared" si="0"/>
        <v>Тип Автобусы</v>
      </c>
      <c r="E64" s="8" t="s">
        <v>40</v>
      </c>
      <c r="F64" s="8" t="s">
        <v>43</v>
      </c>
      <c r="G64" s="8"/>
      <c r="H64" s="9">
        <v>32.1</v>
      </c>
      <c r="I64" s="9">
        <v>32.1</v>
      </c>
      <c r="J64" s="10">
        <v>7.4</v>
      </c>
      <c r="K64" s="10">
        <v>7.4</v>
      </c>
      <c r="L64" s="10"/>
      <c r="M64" s="10"/>
      <c r="N64" s="10"/>
      <c r="O64" s="7">
        <v>1</v>
      </c>
    </row>
    <row r="65" spans="1:16" ht="11.1" hidden="1" customHeight="1">
      <c r="A65" s="7">
        <v>76</v>
      </c>
      <c r="B65" s="8" t="s">
        <v>13</v>
      </c>
      <c r="C65" s="8" t="s">
        <v>82</v>
      </c>
      <c r="D65" s="8" t="str">
        <f t="shared" si="0"/>
        <v>Тип Автобусы</v>
      </c>
      <c r="E65" s="8" t="s">
        <v>40</v>
      </c>
      <c r="F65" s="8" t="s">
        <v>43</v>
      </c>
      <c r="G65" s="11">
        <v>1100</v>
      </c>
      <c r="H65" s="9">
        <v>22.7</v>
      </c>
      <c r="I65" s="8"/>
      <c r="J65" s="10">
        <v>7.4</v>
      </c>
      <c r="K65" s="10">
        <v>7.4</v>
      </c>
      <c r="L65" s="10"/>
      <c r="M65" s="10"/>
      <c r="N65" s="10"/>
      <c r="O65" s="7">
        <v>2</v>
      </c>
    </row>
    <row r="66" spans="1:16" ht="11.1" hidden="1" customHeight="1">
      <c r="A66" s="7">
        <v>78</v>
      </c>
      <c r="B66" s="8" t="s">
        <v>13</v>
      </c>
      <c r="C66" s="8" t="s">
        <v>83</v>
      </c>
      <c r="D66" s="8" t="str">
        <f t="shared" si="0"/>
        <v>Тип Автобусы</v>
      </c>
      <c r="E66" s="8" t="s">
        <v>40</v>
      </c>
      <c r="F66" s="8" t="s">
        <v>43</v>
      </c>
      <c r="G66" s="11">
        <v>1200</v>
      </c>
      <c r="H66" s="9">
        <v>34</v>
      </c>
      <c r="I66" s="8"/>
      <c r="J66" s="10">
        <v>10.3</v>
      </c>
      <c r="K66" s="10">
        <v>10.3</v>
      </c>
      <c r="L66" s="10"/>
      <c r="M66" s="10"/>
      <c r="N66" s="10"/>
      <c r="O66" s="7">
        <v>2</v>
      </c>
    </row>
    <row r="67" spans="1:16" ht="11.1" hidden="1" customHeight="1">
      <c r="A67" s="7">
        <v>79</v>
      </c>
      <c r="B67" s="8" t="s">
        <v>13</v>
      </c>
      <c r="C67" s="8" t="s">
        <v>84</v>
      </c>
      <c r="D67" s="8" t="str">
        <f t="shared" ref="D67:D134" si="1">CONCATENATE("Тип"," ",E67)</f>
        <v>Тип Автобусы</v>
      </c>
      <c r="E67" s="8" t="s">
        <v>40</v>
      </c>
      <c r="F67" s="8" t="s">
        <v>43</v>
      </c>
      <c r="G67" s="8"/>
      <c r="H67" s="9">
        <v>41.2</v>
      </c>
      <c r="I67" s="8"/>
      <c r="J67" s="10">
        <v>10.3</v>
      </c>
      <c r="K67" s="10">
        <v>10.3</v>
      </c>
      <c r="L67" s="10"/>
      <c r="M67" s="10"/>
      <c r="N67" s="10"/>
      <c r="O67" s="7">
        <v>2</v>
      </c>
    </row>
    <row r="68" spans="1:16" ht="11.1" hidden="1" customHeight="1">
      <c r="A68" s="7">
        <v>80</v>
      </c>
      <c r="B68" s="8" t="s">
        <v>13</v>
      </c>
      <c r="C68" s="8" t="s">
        <v>85</v>
      </c>
      <c r="D68" s="8" t="str">
        <f t="shared" si="1"/>
        <v>Тип Автобусы</v>
      </c>
      <c r="E68" s="8" t="s">
        <v>40</v>
      </c>
      <c r="F68" s="8" t="s">
        <v>43</v>
      </c>
      <c r="G68" s="8"/>
      <c r="H68" s="9">
        <v>41.2</v>
      </c>
      <c r="I68" s="8"/>
      <c r="J68" s="10">
        <v>10.3</v>
      </c>
      <c r="K68" s="10">
        <v>10.3</v>
      </c>
      <c r="L68" s="10"/>
      <c r="M68" s="10"/>
      <c r="N68" s="10"/>
      <c r="O68" s="7">
        <v>1</v>
      </c>
    </row>
    <row r="69" spans="1:16" ht="11.1" customHeight="1">
      <c r="A69" s="7">
        <v>103</v>
      </c>
      <c r="B69" s="8" t="s">
        <v>13</v>
      </c>
      <c r="C69" s="8" t="s">
        <v>86</v>
      </c>
      <c r="D69" s="8" t="str">
        <f t="shared" si="1"/>
        <v>Тип Краны автомобильные</v>
      </c>
      <c r="E69" s="8" t="s">
        <v>87</v>
      </c>
      <c r="F69" s="8" t="s">
        <v>88</v>
      </c>
      <c r="G69" s="11">
        <v>2000</v>
      </c>
      <c r="H69" s="9">
        <v>44</v>
      </c>
      <c r="I69" s="9">
        <v>11</v>
      </c>
      <c r="J69" s="14">
        <v>9</v>
      </c>
      <c r="K69" s="14">
        <v>9</v>
      </c>
      <c r="L69" s="14"/>
      <c r="M69" s="14"/>
      <c r="N69" s="14"/>
      <c r="O69" s="7">
        <v>20</v>
      </c>
      <c r="P69" s="6" t="s">
        <v>89</v>
      </c>
    </row>
    <row r="70" spans="1:16" ht="11.1" customHeight="1">
      <c r="A70" s="7">
        <v>104</v>
      </c>
      <c r="B70" s="8" t="s">
        <v>13</v>
      </c>
      <c r="C70" s="8" t="s">
        <v>90</v>
      </c>
      <c r="D70" s="8" t="str">
        <f t="shared" si="1"/>
        <v>Тип Краны автомобильные</v>
      </c>
      <c r="E70" s="8" t="s">
        <v>87</v>
      </c>
      <c r="F70" s="8" t="s">
        <v>91</v>
      </c>
      <c r="G70" s="8"/>
      <c r="H70" s="9">
        <v>40</v>
      </c>
      <c r="I70" s="9">
        <v>13</v>
      </c>
      <c r="J70" s="14">
        <v>13</v>
      </c>
      <c r="K70" s="14">
        <v>13</v>
      </c>
      <c r="L70" s="14"/>
      <c r="M70" s="14"/>
      <c r="N70" s="14"/>
      <c r="O70" s="7">
        <v>1</v>
      </c>
    </row>
    <row r="71" spans="1:16" ht="11.1" customHeight="1">
      <c r="A71" s="7">
        <v>105</v>
      </c>
      <c r="B71" s="8" t="s">
        <v>13</v>
      </c>
      <c r="C71" s="8" t="s">
        <v>92</v>
      </c>
      <c r="D71" s="8" t="str">
        <f t="shared" si="1"/>
        <v>Тип Краны автомобильные</v>
      </c>
      <c r="E71" s="8" t="s">
        <v>87</v>
      </c>
      <c r="F71" s="8" t="s">
        <v>93</v>
      </c>
      <c r="G71" s="11">
        <v>3300</v>
      </c>
      <c r="H71" s="9">
        <v>40</v>
      </c>
      <c r="I71" s="9">
        <v>40</v>
      </c>
      <c r="J71" s="10">
        <v>14.1</v>
      </c>
      <c r="K71" s="10">
        <v>14.1</v>
      </c>
      <c r="L71" s="10"/>
      <c r="M71" s="10"/>
      <c r="N71" s="10"/>
      <c r="O71" s="7">
        <v>1</v>
      </c>
    </row>
    <row r="72" spans="1:16" ht="11.1" customHeight="1">
      <c r="A72" s="7">
        <v>106</v>
      </c>
      <c r="B72" s="8" t="s">
        <v>13</v>
      </c>
      <c r="C72" s="8" t="s">
        <v>94</v>
      </c>
      <c r="D72" s="8" t="str">
        <f t="shared" si="1"/>
        <v>Тип Краны автомобильные</v>
      </c>
      <c r="E72" s="8" t="s">
        <v>87</v>
      </c>
      <c r="F72" s="8" t="s">
        <v>95</v>
      </c>
      <c r="G72" s="11">
        <v>2250</v>
      </c>
      <c r="H72" s="9">
        <v>30</v>
      </c>
      <c r="I72" s="9">
        <v>10</v>
      </c>
      <c r="J72" s="14">
        <v>20</v>
      </c>
      <c r="K72" s="14">
        <v>20</v>
      </c>
      <c r="L72" s="14"/>
      <c r="M72" s="14"/>
      <c r="N72" s="14"/>
      <c r="O72" s="7">
        <v>1</v>
      </c>
    </row>
    <row r="73" spans="1:16" ht="11.1" customHeight="1">
      <c r="A73" s="7">
        <v>107</v>
      </c>
      <c r="B73" s="8" t="s">
        <v>13</v>
      </c>
      <c r="C73" s="8" t="s">
        <v>96</v>
      </c>
      <c r="D73" s="8" t="str">
        <f t="shared" si="1"/>
        <v>Тип Краны автомобильные</v>
      </c>
      <c r="E73" s="8" t="s">
        <v>87</v>
      </c>
      <c r="F73" s="8" t="s">
        <v>97</v>
      </c>
      <c r="G73" s="11">
        <v>2750</v>
      </c>
      <c r="H73" s="9">
        <v>45</v>
      </c>
      <c r="I73" s="9">
        <v>15</v>
      </c>
      <c r="J73" s="10">
        <v>13.4</v>
      </c>
      <c r="K73" s="10">
        <v>13.4</v>
      </c>
      <c r="L73" s="10"/>
      <c r="M73" s="10"/>
      <c r="N73" s="10"/>
      <c r="O73" s="7">
        <v>1</v>
      </c>
    </row>
    <row r="74" spans="1:16" ht="11.1" customHeight="1">
      <c r="A74" s="7">
        <v>110</v>
      </c>
      <c r="B74" s="8" t="s">
        <v>13</v>
      </c>
      <c r="C74" s="8" t="s">
        <v>98</v>
      </c>
      <c r="D74" s="8" t="str">
        <f t="shared" si="1"/>
        <v>Тип Краны автомобильные</v>
      </c>
      <c r="E74" s="8" t="s">
        <v>87</v>
      </c>
      <c r="F74" s="8" t="s">
        <v>99</v>
      </c>
      <c r="G74" s="8"/>
      <c r="H74" s="9">
        <v>45</v>
      </c>
      <c r="I74" s="9">
        <v>7.8</v>
      </c>
      <c r="J74" s="14">
        <v>7.8</v>
      </c>
      <c r="K74" s="14">
        <v>7.8</v>
      </c>
      <c r="L74" s="14"/>
      <c r="M74" s="14"/>
      <c r="N74" s="14"/>
      <c r="O74" s="8"/>
    </row>
    <row r="75" spans="1:16" ht="11.1" customHeight="1">
      <c r="A75" s="7"/>
      <c r="B75" s="8"/>
      <c r="C75" s="15" t="s">
        <v>100</v>
      </c>
      <c r="D75" s="8" t="str">
        <f t="shared" si="1"/>
        <v>Тип Краны автомобильные</v>
      </c>
      <c r="E75" s="8" t="s">
        <v>87</v>
      </c>
      <c r="F75" s="8"/>
      <c r="G75" s="8"/>
      <c r="H75" s="9"/>
      <c r="I75" s="9"/>
      <c r="J75" s="14">
        <v>8.8000000000000007</v>
      </c>
      <c r="K75" s="14">
        <v>8.8000000000000007</v>
      </c>
      <c r="L75" s="14"/>
      <c r="M75" s="14"/>
      <c r="N75" s="14"/>
      <c r="O75" s="8"/>
      <c r="P75"/>
    </row>
    <row r="76" spans="1:16" ht="11.1" customHeight="1">
      <c r="A76" s="7">
        <v>111</v>
      </c>
      <c r="B76" s="8" t="s">
        <v>13</v>
      </c>
      <c r="C76" s="8" t="s">
        <v>101</v>
      </c>
      <c r="D76" s="8" t="str">
        <f t="shared" si="1"/>
        <v>Тип Краны автомобильные</v>
      </c>
      <c r="E76" s="8" t="s">
        <v>87</v>
      </c>
      <c r="F76" s="8" t="s">
        <v>99</v>
      </c>
      <c r="G76" s="8"/>
      <c r="H76" s="9">
        <v>45</v>
      </c>
      <c r="I76" s="9">
        <v>8.8000000000000007</v>
      </c>
      <c r="J76" s="14">
        <v>8.8000000000000007</v>
      </c>
      <c r="K76" s="14">
        <v>8.8000000000000007</v>
      </c>
      <c r="L76" s="14"/>
      <c r="M76" s="14"/>
      <c r="N76" s="14"/>
      <c r="O76" s="7">
        <v>1</v>
      </c>
    </row>
    <row r="77" spans="1:16" ht="11.1" customHeight="1">
      <c r="A77" s="7">
        <v>113</v>
      </c>
      <c r="B77" s="8" t="s">
        <v>13</v>
      </c>
      <c r="C77" s="8" t="s">
        <v>102</v>
      </c>
      <c r="D77" s="8" t="str">
        <f t="shared" si="1"/>
        <v>Тип Краны автомобильные</v>
      </c>
      <c r="E77" s="8" t="s">
        <v>87</v>
      </c>
      <c r="F77" s="8" t="s">
        <v>99</v>
      </c>
      <c r="G77" s="11">
        <v>1200</v>
      </c>
      <c r="H77" s="9">
        <v>33</v>
      </c>
      <c r="I77" s="9">
        <v>6</v>
      </c>
      <c r="J77" s="14">
        <v>6</v>
      </c>
      <c r="K77" s="14">
        <v>6</v>
      </c>
      <c r="L77" s="14"/>
      <c r="M77" s="14"/>
      <c r="N77" s="14"/>
      <c r="O77" s="7">
        <v>1</v>
      </c>
    </row>
    <row r="78" spans="1:16" ht="11.1" customHeight="1">
      <c r="A78" s="7">
        <v>114</v>
      </c>
      <c r="B78" s="8" t="s">
        <v>13</v>
      </c>
      <c r="C78" s="8" t="s">
        <v>103</v>
      </c>
      <c r="D78" s="8" t="str">
        <f t="shared" si="1"/>
        <v>Тип Краны автомобильные</v>
      </c>
      <c r="E78" s="8" t="s">
        <v>87</v>
      </c>
      <c r="F78" s="8" t="s">
        <v>99</v>
      </c>
      <c r="G78" s="8"/>
      <c r="H78" s="9">
        <v>45</v>
      </c>
      <c r="I78" s="9">
        <v>8</v>
      </c>
      <c r="J78" s="14">
        <v>8</v>
      </c>
      <c r="K78" s="14">
        <v>8</v>
      </c>
      <c r="L78" s="14"/>
      <c r="M78" s="14"/>
      <c r="N78" s="14"/>
      <c r="O78" s="8"/>
    </row>
    <row r="79" spans="1:16" ht="11.1" customHeight="1">
      <c r="A79" s="7">
        <v>115</v>
      </c>
      <c r="B79" s="8" t="s">
        <v>13</v>
      </c>
      <c r="C79" s="8" t="s">
        <v>104</v>
      </c>
      <c r="D79" s="8" t="str">
        <f t="shared" si="1"/>
        <v>Тип Краны автомобильные</v>
      </c>
      <c r="E79" s="8" t="s">
        <v>87</v>
      </c>
      <c r="F79" s="8" t="s">
        <v>105</v>
      </c>
      <c r="G79" s="8"/>
      <c r="H79" s="9">
        <v>45</v>
      </c>
      <c r="I79" s="9">
        <v>7.8</v>
      </c>
      <c r="J79" s="14">
        <v>7.8</v>
      </c>
      <c r="K79" s="14">
        <v>7.8</v>
      </c>
      <c r="L79" s="14"/>
      <c r="M79" s="14"/>
      <c r="N79" s="14"/>
      <c r="O79" s="8"/>
    </row>
    <row r="80" spans="1:16" ht="11.1" customHeight="1">
      <c r="A80" s="7">
        <v>117</v>
      </c>
      <c r="B80" s="8" t="s">
        <v>13</v>
      </c>
      <c r="C80" s="8" t="s">
        <v>106</v>
      </c>
      <c r="D80" s="8" t="str">
        <f t="shared" si="1"/>
        <v>Тип Краны автомобильные</v>
      </c>
      <c r="E80" s="8" t="s">
        <v>87</v>
      </c>
      <c r="F80" s="8" t="s">
        <v>105</v>
      </c>
      <c r="G80" s="8"/>
      <c r="H80" s="9">
        <v>33</v>
      </c>
      <c r="I80" s="9">
        <v>6.7</v>
      </c>
      <c r="J80" s="14">
        <v>6.7</v>
      </c>
      <c r="K80" s="14">
        <v>6.7</v>
      </c>
      <c r="L80" s="14"/>
      <c r="M80" s="14"/>
      <c r="N80" s="14"/>
      <c r="O80" s="7">
        <v>1</v>
      </c>
    </row>
    <row r="81" spans="1:15" ht="11.1" customHeight="1">
      <c r="A81" s="7">
        <v>120</v>
      </c>
      <c r="B81" s="8" t="s">
        <v>13</v>
      </c>
      <c r="C81" s="8" t="s">
        <v>107</v>
      </c>
      <c r="D81" s="8" t="str">
        <f t="shared" si="1"/>
        <v>Тип Краны автомобильные</v>
      </c>
      <c r="E81" s="8" t="s">
        <v>87</v>
      </c>
      <c r="F81" s="8" t="s">
        <v>108</v>
      </c>
      <c r="G81" s="8"/>
      <c r="H81" s="9">
        <v>55.8</v>
      </c>
      <c r="I81" s="9">
        <v>8</v>
      </c>
      <c r="J81" s="14">
        <v>8</v>
      </c>
      <c r="K81" s="14">
        <v>8</v>
      </c>
      <c r="L81" s="14"/>
      <c r="M81" s="14"/>
      <c r="N81" s="14"/>
      <c r="O81" s="8"/>
    </row>
    <row r="82" spans="1:15" ht="11.1" customHeight="1">
      <c r="A82" s="7">
        <v>121</v>
      </c>
      <c r="B82" s="8" t="s">
        <v>13</v>
      </c>
      <c r="C82" s="8" t="s">
        <v>109</v>
      </c>
      <c r="D82" s="8" t="str">
        <f t="shared" si="1"/>
        <v>Тип Краны автомобильные</v>
      </c>
      <c r="E82" s="8" t="s">
        <v>87</v>
      </c>
      <c r="F82" s="8" t="s">
        <v>110</v>
      </c>
      <c r="G82" s="8"/>
      <c r="H82" s="9">
        <v>46</v>
      </c>
      <c r="I82" s="9">
        <v>13</v>
      </c>
      <c r="J82" s="14">
        <v>13</v>
      </c>
      <c r="K82" s="14">
        <v>13</v>
      </c>
      <c r="L82" s="14"/>
      <c r="M82" s="14"/>
      <c r="N82" s="14"/>
      <c r="O82" s="8"/>
    </row>
    <row r="83" spans="1:15" ht="11.1" customHeight="1">
      <c r="A83" s="7"/>
      <c r="B83" s="8"/>
      <c r="C83" s="8" t="s">
        <v>111</v>
      </c>
      <c r="D83" s="8" t="str">
        <f t="shared" si="1"/>
        <v>Тип Краны автомобильные</v>
      </c>
      <c r="E83" s="8" t="s">
        <v>87</v>
      </c>
      <c r="F83" s="8"/>
      <c r="G83" s="8"/>
      <c r="H83" s="9"/>
      <c r="I83" s="9"/>
      <c r="J83" s="14">
        <v>8.8000000000000007</v>
      </c>
      <c r="K83" s="14">
        <v>8.8000000000000007</v>
      </c>
      <c r="L83" s="14"/>
      <c r="M83" s="14"/>
      <c r="N83" s="14"/>
      <c r="O83" s="8"/>
    </row>
    <row r="84" spans="1:15" ht="11.1" customHeight="1">
      <c r="A84" s="7"/>
      <c r="B84" s="8"/>
      <c r="C84" s="8" t="s">
        <v>112</v>
      </c>
      <c r="D84" s="8" t="str">
        <f t="shared" si="1"/>
        <v>Тип Краны автомобильные</v>
      </c>
      <c r="E84" s="8" t="s">
        <v>87</v>
      </c>
      <c r="F84" s="8"/>
      <c r="G84" s="8"/>
      <c r="H84" s="9"/>
      <c r="I84" s="9"/>
      <c r="J84" s="14">
        <v>8.8000000000000007</v>
      </c>
      <c r="K84" s="14">
        <v>8.8000000000000007</v>
      </c>
      <c r="L84" s="14"/>
      <c r="M84" s="14"/>
      <c r="N84" s="14"/>
      <c r="O84" s="8"/>
    </row>
    <row r="85" spans="1:15" ht="11.1" customHeight="1">
      <c r="A85" s="7"/>
      <c r="B85" s="8"/>
      <c r="C85" s="8" t="s">
        <v>113</v>
      </c>
      <c r="D85" s="8" t="str">
        <f t="shared" si="1"/>
        <v>Тип Краны автомобильные</v>
      </c>
      <c r="E85" s="8" t="s">
        <v>87</v>
      </c>
      <c r="F85" s="8"/>
      <c r="G85" s="8"/>
      <c r="H85" s="9"/>
      <c r="I85" s="9"/>
      <c r="J85" s="14">
        <v>8.8000000000000007</v>
      </c>
      <c r="K85" s="14">
        <v>8.8000000000000007</v>
      </c>
      <c r="L85" s="14"/>
      <c r="M85" s="14"/>
      <c r="N85" s="14"/>
      <c r="O85" s="8"/>
    </row>
    <row r="86" spans="1:15" ht="11.1" hidden="1" customHeight="1">
      <c r="A86" s="7"/>
      <c r="B86" s="8"/>
      <c r="C86" s="16" t="s">
        <v>114</v>
      </c>
      <c r="D86" s="8" t="str">
        <f t="shared" si="1"/>
        <v>Тип Миникраны</v>
      </c>
      <c r="E86" s="8" t="s">
        <v>115</v>
      </c>
      <c r="F86" s="8"/>
      <c r="G86" s="8"/>
      <c r="H86" s="9"/>
      <c r="I86" s="9"/>
      <c r="J86" s="14"/>
      <c r="K86" s="14"/>
      <c r="L86" s="14"/>
      <c r="M86" s="14"/>
      <c r="N86" s="14"/>
      <c r="O86" s="8"/>
    </row>
    <row r="87" spans="1:15" ht="11.1" customHeight="1">
      <c r="A87" s="7"/>
      <c r="B87" s="8"/>
      <c r="C87" s="8" t="s">
        <v>116</v>
      </c>
      <c r="D87" s="8" t="str">
        <f t="shared" si="1"/>
        <v>Тип Краны автомобильные</v>
      </c>
      <c r="E87" s="8" t="s">
        <v>87</v>
      </c>
      <c r="F87" s="8"/>
      <c r="G87" s="8"/>
      <c r="H87" s="9"/>
      <c r="I87" s="9"/>
      <c r="J87" s="14">
        <v>8.8000000000000007</v>
      </c>
      <c r="K87" s="14">
        <v>8.8000000000000007</v>
      </c>
      <c r="L87" s="14"/>
      <c r="M87" s="14"/>
      <c r="N87" s="14"/>
      <c r="O87" s="8"/>
    </row>
    <row r="88" spans="1:15" ht="11.1" customHeight="1">
      <c r="A88" s="7">
        <v>124</v>
      </c>
      <c r="B88" s="8" t="s">
        <v>13</v>
      </c>
      <c r="C88" s="8" t="s">
        <v>117</v>
      </c>
      <c r="D88" s="8" t="str">
        <f t="shared" si="1"/>
        <v>Тип Краны автомобильные</v>
      </c>
      <c r="E88" s="8" t="s">
        <v>87</v>
      </c>
      <c r="F88" s="8" t="s">
        <v>110</v>
      </c>
      <c r="G88" s="11">
        <v>1450</v>
      </c>
      <c r="H88" s="9">
        <v>49</v>
      </c>
      <c r="I88" s="9">
        <v>8.8000000000000007</v>
      </c>
      <c r="J88" s="14">
        <v>8.8000000000000007</v>
      </c>
      <c r="K88" s="14">
        <v>8.8000000000000007</v>
      </c>
      <c r="L88" s="14"/>
      <c r="M88" s="14"/>
      <c r="N88" s="14"/>
      <c r="O88" s="7">
        <v>6</v>
      </c>
    </row>
    <row r="89" spans="1:15" ht="11.1" customHeight="1">
      <c r="A89" s="7">
        <v>125</v>
      </c>
      <c r="B89" s="8" t="s">
        <v>13</v>
      </c>
      <c r="C89" s="8" t="s">
        <v>118</v>
      </c>
      <c r="D89" s="8" t="str">
        <f t="shared" si="1"/>
        <v>Тип Краны автомобильные</v>
      </c>
      <c r="E89" s="8" t="s">
        <v>87</v>
      </c>
      <c r="F89" s="8" t="s">
        <v>110</v>
      </c>
      <c r="G89" s="11">
        <v>1450</v>
      </c>
      <c r="H89" s="9">
        <v>45</v>
      </c>
      <c r="I89" s="9">
        <v>13</v>
      </c>
      <c r="J89" s="14">
        <v>8.8000000000000007</v>
      </c>
      <c r="K89" s="14">
        <v>8.8000000000000007</v>
      </c>
      <c r="L89" s="14"/>
      <c r="M89" s="14"/>
      <c r="N89" s="14"/>
      <c r="O89" s="7">
        <v>2</v>
      </c>
    </row>
    <row r="90" spans="1:15" ht="11.1" customHeight="1">
      <c r="A90" s="7">
        <v>126</v>
      </c>
      <c r="B90" s="8" t="s">
        <v>13</v>
      </c>
      <c r="C90" s="8" t="s">
        <v>119</v>
      </c>
      <c r="D90" s="8" t="str">
        <f t="shared" si="1"/>
        <v>Тип Краны автомобильные</v>
      </c>
      <c r="E90" s="8" t="s">
        <v>87</v>
      </c>
      <c r="F90" s="8" t="s">
        <v>110</v>
      </c>
      <c r="G90" s="8"/>
      <c r="H90" s="9">
        <v>42</v>
      </c>
      <c r="I90" s="9">
        <v>8</v>
      </c>
      <c r="J90" s="14">
        <v>7.6</v>
      </c>
      <c r="K90" s="14">
        <v>7.6</v>
      </c>
      <c r="L90" s="14"/>
      <c r="M90" s="14"/>
      <c r="N90" s="14"/>
      <c r="O90" s="7">
        <v>1</v>
      </c>
    </row>
    <row r="91" spans="1:15" ht="11.1" customHeight="1">
      <c r="A91" s="7">
        <v>127</v>
      </c>
      <c r="B91" s="8" t="s">
        <v>13</v>
      </c>
      <c r="C91" s="8" t="s">
        <v>120</v>
      </c>
      <c r="D91" s="8" t="str">
        <f t="shared" si="1"/>
        <v>Тип Краны автомобильные</v>
      </c>
      <c r="E91" s="8" t="s">
        <v>87</v>
      </c>
      <c r="F91" s="8" t="s">
        <v>110</v>
      </c>
      <c r="G91" s="8"/>
      <c r="H91" s="9">
        <v>32</v>
      </c>
      <c r="I91" s="9">
        <v>8.8000000000000007</v>
      </c>
      <c r="J91" s="14">
        <v>7.6</v>
      </c>
      <c r="K91" s="14">
        <v>7.6</v>
      </c>
      <c r="L91" s="14"/>
      <c r="M91" s="14"/>
      <c r="N91" s="14"/>
      <c r="O91" s="8"/>
    </row>
    <row r="92" spans="1:15" ht="11.1" customHeight="1">
      <c r="A92" s="7">
        <v>129</v>
      </c>
      <c r="B92" s="8" t="s">
        <v>13</v>
      </c>
      <c r="C92" s="8" t="s">
        <v>121</v>
      </c>
      <c r="D92" s="8" t="str">
        <f t="shared" si="1"/>
        <v>Тип Краны автомобильные</v>
      </c>
      <c r="E92" s="8" t="s">
        <v>87</v>
      </c>
      <c r="F92" s="8" t="s">
        <v>110</v>
      </c>
      <c r="G92" s="8"/>
      <c r="H92" s="9">
        <v>55.8</v>
      </c>
      <c r="I92" s="9">
        <v>8.8000000000000007</v>
      </c>
      <c r="J92" s="9">
        <v>8.8000000000000007</v>
      </c>
      <c r="K92" s="9">
        <v>8.8000000000000007</v>
      </c>
      <c r="L92" s="9"/>
      <c r="M92" s="9"/>
      <c r="N92" s="9"/>
      <c r="O92" s="7">
        <v>1</v>
      </c>
    </row>
    <row r="93" spans="1:15" ht="11.1" customHeight="1">
      <c r="A93" s="7">
        <v>130</v>
      </c>
      <c r="B93" s="8" t="s">
        <v>13</v>
      </c>
      <c r="C93" s="8" t="s">
        <v>122</v>
      </c>
      <c r="D93" s="8" t="str">
        <f t="shared" si="1"/>
        <v>Тип Краны автомобильные</v>
      </c>
      <c r="E93" s="8" t="s">
        <v>87</v>
      </c>
      <c r="F93" s="8" t="s">
        <v>110</v>
      </c>
      <c r="G93" s="8"/>
      <c r="H93" s="9">
        <v>56</v>
      </c>
      <c r="I93" s="9">
        <v>8.8000000000000007</v>
      </c>
      <c r="J93" s="14">
        <v>8.8000000000000007</v>
      </c>
      <c r="K93" s="14">
        <v>8.8000000000000007</v>
      </c>
      <c r="L93" s="14"/>
      <c r="M93" s="14"/>
      <c r="N93" s="14"/>
      <c r="O93" s="8"/>
    </row>
    <row r="94" spans="1:15" ht="11.1" customHeight="1">
      <c r="A94" s="7">
        <v>132</v>
      </c>
      <c r="B94" s="8" t="s">
        <v>13</v>
      </c>
      <c r="C94" s="8" t="s">
        <v>123</v>
      </c>
      <c r="D94" s="8" t="str">
        <f t="shared" si="1"/>
        <v>Тип Краны автомобильные</v>
      </c>
      <c r="E94" s="8" t="s">
        <v>87</v>
      </c>
      <c r="F94" s="8" t="s">
        <v>110</v>
      </c>
      <c r="G94" s="8"/>
      <c r="H94" s="9">
        <v>35</v>
      </c>
      <c r="I94" s="9">
        <v>9.5</v>
      </c>
      <c r="J94" s="14">
        <v>7.6</v>
      </c>
      <c r="K94" s="14">
        <v>7.6</v>
      </c>
      <c r="L94" s="14"/>
      <c r="M94" s="14"/>
      <c r="N94" s="14"/>
      <c r="O94" s="7">
        <v>2</v>
      </c>
    </row>
    <row r="95" spans="1:15" ht="11.1" customHeight="1">
      <c r="A95" s="7">
        <v>133</v>
      </c>
      <c r="B95" s="8" t="s">
        <v>13</v>
      </c>
      <c r="C95" s="16" t="s">
        <v>124</v>
      </c>
      <c r="D95" s="8" t="str">
        <f t="shared" si="1"/>
        <v>Тип Краны автомобильные</v>
      </c>
      <c r="E95" s="8" t="s">
        <v>87</v>
      </c>
      <c r="F95" s="8" t="s">
        <v>110</v>
      </c>
      <c r="G95" s="8"/>
      <c r="H95" s="9">
        <v>44.6</v>
      </c>
      <c r="I95" s="9">
        <v>8</v>
      </c>
      <c r="J95" s="14">
        <v>7.6</v>
      </c>
      <c r="K95" s="14">
        <v>7.6</v>
      </c>
      <c r="L95" s="14"/>
      <c r="M95" s="14"/>
      <c r="N95" s="14"/>
      <c r="O95" s="7">
        <v>3</v>
      </c>
    </row>
    <row r="96" spans="1:15" ht="11.1" customHeight="1">
      <c r="A96" s="7">
        <v>138</v>
      </c>
      <c r="B96" s="8" t="s">
        <v>13</v>
      </c>
      <c r="C96" s="8" t="s">
        <v>125</v>
      </c>
      <c r="D96" s="8" t="str">
        <f t="shared" si="1"/>
        <v>Тип Краны автомобильные</v>
      </c>
      <c r="E96" s="8" t="s">
        <v>87</v>
      </c>
      <c r="F96" s="8" t="s">
        <v>110</v>
      </c>
      <c r="G96" s="8"/>
      <c r="H96" s="9">
        <v>44.8</v>
      </c>
      <c r="I96" s="9">
        <v>9.5</v>
      </c>
      <c r="J96" s="14">
        <v>7.6</v>
      </c>
      <c r="K96" s="14">
        <v>7.6</v>
      </c>
      <c r="L96" s="14"/>
      <c r="M96" s="14"/>
      <c r="N96" s="14"/>
      <c r="O96" s="7">
        <v>1</v>
      </c>
    </row>
    <row r="97" spans="1:15" ht="11.1" customHeight="1">
      <c r="A97" s="7"/>
      <c r="B97" s="8"/>
      <c r="C97" s="16" t="s">
        <v>126</v>
      </c>
      <c r="D97" s="8" t="str">
        <f t="shared" si="1"/>
        <v>Тип Краны автомобильные</v>
      </c>
      <c r="E97" s="8" t="s">
        <v>87</v>
      </c>
      <c r="F97" s="8"/>
      <c r="G97" s="8"/>
      <c r="H97" s="9">
        <v>44.8</v>
      </c>
      <c r="I97" s="9">
        <v>9.5</v>
      </c>
      <c r="J97" s="14">
        <v>7.6</v>
      </c>
      <c r="K97" s="14">
        <v>7.6</v>
      </c>
      <c r="L97" s="14"/>
      <c r="M97" s="14"/>
      <c r="N97" s="14"/>
      <c r="O97" s="7"/>
    </row>
    <row r="98" spans="1:15" ht="11.1" customHeight="1">
      <c r="A98" s="7">
        <v>139</v>
      </c>
      <c r="B98" s="8" t="s">
        <v>13</v>
      </c>
      <c r="C98" s="8" t="s">
        <v>127</v>
      </c>
      <c r="D98" s="8" t="str">
        <f t="shared" si="1"/>
        <v>Тип Краны автомобильные</v>
      </c>
      <c r="E98" s="8" t="s">
        <v>87</v>
      </c>
      <c r="F98" s="8" t="s">
        <v>110</v>
      </c>
      <c r="G98" s="8"/>
      <c r="H98" s="9">
        <v>44.8</v>
      </c>
      <c r="I98" s="9">
        <v>9.5</v>
      </c>
      <c r="J98" s="14">
        <v>7.6</v>
      </c>
      <c r="K98" s="14">
        <v>7.6</v>
      </c>
      <c r="L98" s="14"/>
      <c r="M98" s="14"/>
      <c r="N98" s="14"/>
      <c r="O98" s="7">
        <v>1</v>
      </c>
    </row>
    <row r="99" spans="1:15" ht="11.1" customHeight="1">
      <c r="A99" s="7">
        <v>140</v>
      </c>
      <c r="B99" s="8" t="s">
        <v>13</v>
      </c>
      <c r="C99" s="8" t="s">
        <v>128</v>
      </c>
      <c r="D99" s="8" t="str">
        <f t="shared" si="1"/>
        <v>Тип Краны автомобильные</v>
      </c>
      <c r="E99" s="8" t="s">
        <v>87</v>
      </c>
      <c r="F99" s="8" t="s">
        <v>110</v>
      </c>
      <c r="G99" s="8"/>
      <c r="H99" s="9">
        <v>32</v>
      </c>
      <c r="I99" s="9">
        <v>9.5</v>
      </c>
      <c r="J99" s="14">
        <v>7.6</v>
      </c>
      <c r="K99" s="14">
        <v>7.6</v>
      </c>
      <c r="L99" s="14"/>
      <c r="M99" s="14"/>
      <c r="N99" s="14"/>
      <c r="O99" s="7">
        <v>1</v>
      </c>
    </row>
    <row r="100" spans="1:15" ht="11.1" customHeight="1">
      <c r="A100" s="7">
        <v>141</v>
      </c>
      <c r="B100" s="8" t="s">
        <v>13</v>
      </c>
      <c r="C100" s="8" t="s">
        <v>129</v>
      </c>
      <c r="D100" s="8" t="str">
        <f t="shared" si="1"/>
        <v>Тип Краны автомобильные</v>
      </c>
      <c r="E100" s="8" t="s">
        <v>87</v>
      </c>
      <c r="F100" s="8" t="s">
        <v>110</v>
      </c>
      <c r="G100" s="8"/>
      <c r="H100" s="9">
        <v>32</v>
      </c>
      <c r="I100" s="9">
        <v>6</v>
      </c>
      <c r="J100" s="14">
        <v>7.6</v>
      </c>
      <c r="K100" s="14">
        <v>7.6</v>
      </c>
      <c r="L100" s="14"/>
      <c r="M100" s="14"/>
      <c r="N100" s="14"/>
      <c r="O100" s="8"/>
    </row>
    <row r="101" spans="1:15" ht="11.1" customHeight="1">
      <c r="A101" s="7">
        <v>142</v>
      </c>
      <c r="B101" s="8" t="s">
        <v>13</v>
      </c>
      <c r="C101" s="8" t="s">
        <v>130</v>
      </c>
      <c r="D101" s="8" t="str">
        <f t="shared" si="1"/>
        <v>Тип Краны автомобильные</v>
      </c>
      <c r="E101" s="8" t="s">
        <v>87</v>
      </c>
      <c r="F101" s="8" t="s">
        <v>131</v>
      </c>
      <c r="G101" s="8"/>
      <c r="H101" s="9">
        <v>62</v>
      </c>
      <c r="I101" s="9">
        <v>25</v>
      </c>
      <c r="J101" s="10">
        <v>25</v>
      </c>
      <c r="K101" s="10">
        <v>25</v>
      </c>
      <c r="L101" s="10"/>
      <c r="M101" s="10"/>
      <c r="N101" s="10"/>
      <c r="O101" s="7">
        <v>1</v>
      </c>
    </row>
    <row r="102" spans="1:15" ht="11.1" hidden="1" customHeight="1">
      <c r="A102" s="7">
        <v>158</v>
      </c>
      <c r="B102" s="8" t="s">
        <v>13</v>
      </c>
      <c r="C102" s="8" t="s">
        <v>132</v>
      </c>
      <c r="D102" s="8" t="str">
        <f t="shared" si="1"/>
        <v>Тип Автоцистерны</v>
      </c>
      <c r="E102" s="8" t="s">
        <v>133</v>
      </c>
      <c r="F102" s="8" t="s">
        <v>134</v>
      </c>
      <c r="G102" s="12">
        <v>660</v>
      </c>
      <c r="H102" s="9">
        <v>26</v>
      </c>
      <c r="I102" s="8"/>
      <c r="J102" s="10">
        <v>6.8</v>
      </c>
      <c r="K102" s="10">
        <v>6.8</v>
      </c>
      <c r="L102" s="10"/>
      <c r="M102" s="10"/>
      <c r="N102" s="10"/>
      <c r="O102" s="8"/>
    </row>
    <row r="103" spans="1:15" ht="11.1" hidden="1" customHeight="1">
      <c r="A103" s="7">
        <v>159</v>
      </c>
      <c r="B103" s="8" t="s">
        <v>13</v>
      </c>
      <c r="C103" s="8" t="s">
        <v>135</v>
      </c>
      <c r="D103" s="8" t="str">
        <f t="shared" si="1"/>
        <v>Тип Автоцистерны</v>
      </c>
      <c r="E103" s="8" t="s">
        <v>133</v>
      </c>
      <c r="F103" s="8"/>
      <c r="G103" s="8"/>
      <c r="H103" s="9">
        <v>19.3</v>
      </c>
      <c r="I103" s="8"/>
      <c r="J103" s="10">
        <v>6.8</v>
      </c>
      <c r="K103" s="10">
        <v>6.8</v>
      </c>
      <c r="L103" s="10"/>
      <c r="M103" s="10"/>
      <c r="N103" s="10"/>
      <c r="O103" s="7">
        <v>1</v>
      </c>
    </row>
    <row r="104" spans="1:15" ht="11.1" hidden="1" customHeight="1">
      <c r="A104" s="7">
        <v>178</v>
      </c>
      <c r="B104" s="8" t="s">
        <v>13</v>
      </c>
      <c r="C104" s="8" t="s">
        <v>136</v>
      </c>
      <c r="D104" s="8" t="str">
        <f t="shared" si="1"/>
        <v>Тип Ассенизационные</v>
      </c>
      <c r="E104" s="8" t="s">
        <v>137</v>
      </c>
      <c r="F104" s="8"/>
      <c r="G104" s="11">
        <v>1200</v>
      </c>
      <c r="H104" s="9">
        <v>30</v>
      </c>
      <c r="I104" s="9">
        <v>2</v>
      </c>
      <c r="J104" s="10">
        <v>11.4</v>
      </c>
      <c r="K104" s="10">
        <v>11.4</v>
      </c>
      <c r="L104" s="10"/>
      <c r="M104" s="10"/>
      <c r="N104" s="10"/>
      <c r="O104" s="7">
        <v>1</v>
      </c>
    </row>
    <row r="105" spans="1:15" ht="11.1" hidden="1" customHeight="1">
      <c r="A105" s="7">
        <v>179</v>
      </c>
      <c r="B105" s="8" t="s">
        <v>13</v>
      </c>
      <c r="C105" s="8" t="s">
        <v>138</v>
      </c>
      <c r="D105" s="8" t="str">
        <f t="shared" si="1"/>
        <v>Тип Асфальтоукладчики</v>
      </c>
      <c r="E105" s="8" t="s">
        <v>139</v>
      </c>
      <c r="F105" s="8" t="s">
        <v>140</v>
      </c>
      <c r="G105" s="8"/>
      <c r="H105" s="9">
        <v>13.5</v>
      </c>
      <c r="I105" s="9">
        <v>13.5</v>
      </c>
      <c r="J105" s="14">
        <v>13.5</v>
      </c>
      <c r="K105" s="14">
        <v>13.5</v>
      </c>
      <c r="L105" s="14"/>
      <c r="M105" s="14"/>
      <c r="N105" s="14"/>
      <c r="O105" s="7">
        <v>1</v>
      </c>
    </row>
    <row r="106" spans="1:15" ht="11.1" hidden="1" customHeight="1">
      <c r="A106" s="7">
        <v>180</v>
      </c>
      <c r="B106" s="8" t="s">
        <v>13</v>
      </c>
      <c r="C106" s="8" t="s">
        <v>141</v>
      </c>
      <c r="D106" s="8" t="str">
        <f t="shared" si="1"/>
        <v>Тип Асфальтоукладчики</v>
      </c>
      <c r="E106" s="8" t="s">
        <v>139</v>
      </c>
      <c r="F106" s="8" t="s">
        <v>140</v>
      </c>
      <c r="G106" s="8"/>
      <c r="H106" s="9">
        <v>14.5</v>
      </c>
      <c r="I106" s="9">
        <v>14.5</v>
      </c>
      <c r="J106" s="14">
        <v>14.5</v>
      </c>
      <c r="K106" s="14">
        <v>14.5</v>
      </c>
      <c r="L106" s="14"/>
      <c r="M106" s="14"/>
      <c r="N106" s="14"/>
      <c r="O106" s="7">
        <v>1</v>
      </c>
    </row>
    <row r="107" spans="1:15" ht="11.1" hidden="1" customHeight="1">
      <c r="A107" s="7">
        <v>181</v>
      </c>
      <c r="B107" s="8" t="s">
        <v>13</v>
      </c>
      <c r="C107" s="8" t="s">
        <v>142</v>
      </c>
      <c r="D107" s="8" t="str">
        <f t="shared" si="1"/>
        <v>Тип Асфальтоукладчики</v>
      </c>
      <c r="E107" s="8" t="s">
        <v>139</v>
      </c>
      <c r="F107" s="8" t="s">
        <v>140</v>
      </c>
      <c r="G107" s="8"/>
      <c r="H107" s="9">
        <v>17.5</v>
      </c>
      <c r="I107" s="9">
        <v>17.5</v>
      </c>
      <c r="J107" s="14">
        <v>17.5</v>
      </c>
      <c r="K107" s="14">
        <v>17.5</v>
      </c>
      <c r="L107" s="14"/>
      <c r="M107" s="14"/>
      <c r="N107" s="14"/>
      <c r="O107" s="7">
        <v>1</v>
      </c>
    </row>
    <row r="108" spans="1:15" ht="11.1" hidden="1" customHeight="1">
      <c r="A108" s="7">
        <v>183</v>
      </c>
      <c r="B108" s="8" t="s">
        <v>13</v>
      </c>
      <c r="C108" s="8" t="s">
        <v>143</v>
      </c>
      <c r="D108" s="8" t="str">
        <f t="shared" si="1"/>
        <v>Тип Автотопливозаправщики</v>
      </c>
      <c r="E108" s="8" t="s">
        <v>144</v>
      </c>
      <c r="F108" s="8" t="s">
        <v>145</v>
      </c>
      <c r="G108" s="12">
        <v>750</v>
      </c>
      <c r="H108" s="9">
        <v>25</v>
      </c>
      <c r="I108" s="9">
        <v>2.5</v>
      </c>
      <c r="J108" s="10">
        <v>4.8</v>
      </c>
      <c r="K108" s="10">
        <v>4.8</v>
      </c>
      <c r="L108" s="10"/>
      <c r="M108" s="10"/>
      <c r="N108" s="10"/>
      <c r="O108" s="7">
        <v>1</v>
      </c>
    </row>
    <row r="109" spans="1:15" ht="11.1" hidden="1" customHeight="1">
      <c r="A109" s="7">
        <v>195</v>
      </c>
      <c r="B109" s="8" t="s">
        <v>13</v>
      </c>
      <c r="C109" s="8" t="s">
        <v>146</v>
      </c>
      <c r="D109" s="8" t="str">
        <f t="shared" si="1"/>
        <v>Тип Автотопливозаправщики</v>
      </c>
      <c r="E109" s="8" t="s">
        <v>144</v>
      </c>
      <c r="F109" s="8" t="s">
        <v>147</v>
      </c>
      <c r="G109" s="11">
        <v>1000</v>
      </c>
      <c r="H109" s="9">
        <v>33</v>
      </c>
      <c r="I109" s="9">
        <v>3</v>
      </c>
      <c r="J109" s="10">
        <v>13.5</v>
      </c>
      <c r="K109" s="10">
        <v>13.5</v>
      </c>
      <c r="L109" s="10"/>
      <c r="M109" s="10"/>
      <c r="N109" s="10"/>
      <c r="O109" s="7">
        <v>4</v>
      </c>
    </row>
    <row r="110" spans="1:15" ht="11.1" hidden="1" customHeight="1">
      <c r="A110" s="7">
        <v>196</v>
      </c>
      <c r="B110" s="8" t="s">
        <v>13</v>
      </c>
      <c r="C110" s="8" t="s">
        <v>148</v>
      </c>
      <c r="D110" s="8" t="str">
        <f t="shared" si="1"/>
        <v>Тип Автотопливозаправщики</v>
      </c>
      <c r="E110" s="8" t="s">
        <v>144</v>
      </c>
      <c r="F110" s="8" t="s">
        <v>145</v>
      </c>
      <c r="G110" s="11">
        <v>1000</v>
      </c>
      <c r="H110" s="9">
        <v>33</v>
      </c>
      <c r="I110" s="9">
        <v>3</v>
      </c>
      <c r="J110" s="10">
        <v>13.5</v>
      </c>
      <c r="K110" s="10">
        <v>13.5</v>
      </c>
      <c r="L110" s="10"/>
      <c r="M110" s="10"/>
      <c r="N110" s="10"/>
      <c r="O110" s="7">
        <v>1</v>
      </c>
    </row>
    <row r="111" spans="1:15" ht="11.1" hidden="1" customHeight="1">
      <c r="A111" s="7">
        <v>206</v>
      </c>
      <c r="B111" s="8" t="s">
        <v>13</v>
      </c>
      <c r="C111" s="8" t="s">
        <v>149</v>
      </c>
      <c r="D111" s="8" t="str">
        <f t="shared" si="1"/>
        <v>Тип Автобетононасосы</v>
      </c>
      <c r="E111" s="8" t="s">
        <v>150</v>
      </c>
      <c r="F111" s="8" t="s">
        <v>151</v>
      </c>
      <c r="G111" s="11">
        <v>1850</v>
      </c>
      <c r="H111" s="9">
        <v>50</v>
      </c>
      <c r="I111" s="9">
        <v>4</v>
      </c>
      <c r="J111" s="10">
        <v>8.6</v>
      </c>
      <c r="K111" s="10">
        <v>8.6</v>
      </c>
      <c r="L111" s="10"/>
      <c r="M111" s="10"/>
      <c r="N111" s="10"/>
      <c r="O111" s="7">
        <v>1</v>
      </c>
    </row>
    <row r="112" spans="1:15" ht="11.1" hidden="1" customHeight="1">
      <c r="A112" s="7">
        <v>211</v>
      </c>
      <c r="B112" s="8" t="s">
        <v>13</v>
      </c>
      <c r="C112" s="8" t="s">
        <v>152</v>
      </c>
      <c r="D112" s="8" t="str">
        <f t="shared" si="1"/>
        <v>Тип Бортовые</v>
      </c>
      <c r="E112" s="8" t="s">
        <v>153</v>
      </c>
      <c r="F112" s="8" t="s">
        <v>154</v>
      </c>
      <c r="G112" s="8"/>
      <c r="H112" s="9">
        <v>16</v>
      </c>
      <c r="I112" s="8"/>
      <c r="J112" s="10">
        <v>4.3</v>
      </c>
      <c r="K112" s="10">
        <v>4.3</v>
      </c>
      <c r="L112" s="10"/>
      <c r="M112" s="10"/>
      <c r="N112" s="10"/>
      <c r="O112" s="7">
        <v>1</v>
      </c>
    </row>
    <row r="113" spans="1:15" ht="11.1" hidden="1" customHeight="1">
      <c r="A113" s="7">
        <v>212</v>
      </c>
      <c r="B113" s="8" t="s">
        <v>13</v>
      </c>
      <c r="C113" s="8" t="s">
        <v>155</v>
      </c>
      <c r="D113" s="8" t="str">
        <f t="shared" si="1"/>
        <v>Тип Бортовые</v>
      </c>
      <c r="E113" s="8" t="s">
        <v>153</v>
      </c>
      <c r="F113" s="8" t="s">
        <v>156</v>
      </c>
      <c r="G113" s="12">
        <v>730</v>
      </c>
      <c r="H113" s="9">
        <v>12</v>
      </c>
      <c r="I113" s="8"/>
      <c r="J113" s="10">
        <v>4.3</v>
      </c>
      <c r="K113" s="10">
        <v>4.3</v>
      </c>
      <c r="L113" s="10"/>
      <c r="M113" s="10"/>
      <c r="N113" s="10"/>
      <c r="O113" s="7">
        <v>2</v>
      </c>
    </row>
    <row r="114" spans="1:15" ht="11.1" hidden="1" customHeight="1">
      <c r="A114" s="7">
        <v>213</v>
      </c>
      <c r="B114" s="8" t="s">
        <v>13</v>
      </c>
      <c r="C114" s="8" t="s">
        <v>157</v>
      </c>
      <c r="D114" s="8" t="str">
        <f t="shared" si="1"/>
        <v>Тип Бортовые</v>
      </c>
      <c r="E114" s="8" t="s">
        <v>153</v>
      </c>
      <c r="F114" s="8" t="s">
        <v>158</v>
      </c>
      <c r="G114" s="12">
        <v>730</v>
      </c>
      <c r="H114" s="9">
        <v>10</v>
      </c>
      <c r="I114" s="8"/>
      <c r="J114" s="10">
        <v>4.3</v>
      </c>
      <c r="K114" s="10">
        <v>4.3</v>
      </c>
      <c r="L114" s="10"/>
      <c r="M114" s="10"/>
      <c r="N114" s="10"/>
      <c r="O114" s="7">
        <v>1</v>
      </c>
    </row>
    <row r="115" spans="1:15" ht="11.1" hidden="1" customHeight="1">
      <c r="A115" s="7">
        <v>214</v>
      </c>
      <c r="B115" s="8" t="s">
        <v>13</v>
      </c>
      <c r="C115" s="8" t="s">
        <v>159</v>
      </c>
      <c r="D115" s="8" t="str">
        <f t="shared" si="1"/>
        <v>Тип Бортовые</v>
      </c>
      <c r="E115" s="8" t="s">
        <v>153</v>
      </c>
      <c r="F115" s="8" t="s">
        <v>156</v>
      </c>
      <c r="G115" s="11">
        <v>1500</v>
      </c>
      <c r="H115" s="9">
        <v>37</v>
      </c>
      <c r="I115" s="9">
        <v>8</v>
      </c>
      <c r="J115" s="10">
        <v>4.7</v>
      </c>
      <c r="K115" s="10">
        <v>4.7</v>
      </c>
      <c r="L115" s="10"/>
      <c r="M115" s="10"/>
      <c r="N115" s="10"/>
      <c r="O115" s="7">
        <v>1</v>
      </c>
    </row>
    <row r="116" spans="1:15" ht="11.1" hidden="1" customHeight="1">
      <c r="A116" s="7">
        <v>215</v>
      </c>
      <c r="B116" s="8" t="s">
        <v>13</v>
      </c>
      <c r="C116" s="8" t="s">
        <v>160</v>
      </c>
      <c r="D116" s="8" t="str">
        <f t="shared" si="1"/>
        <v>Тип Бортовые</v>
      </c>
      <c r="E116" s="8" t="s">
        <v>153</v>
      </c>
      <c r="F116" s="8" t="s">
        <v>156</v>
      </c>
      <c r="G116" s="11">
        <v>1500</v>
      </c>
      <c r="H116" s="9">
        <v>37</v>
      </c>
      <c r="I116" s="9">
        <v>8</v>
      </c>
      <c r="J116" s="10">
        <v>4.7</v>
      </c>
      <c r="K116" s="10">
        <v>4.7</v>
      </c>
      <c r="L116" s="10"/>
      <c r="M116" s="10"/>
      <c r="N116" s="10"/>
      <c r="O116" s="7">
        <v>1</v>
      </c>
    </row>
    <row r="117" spans="1:15" ht="11.1" hidden="1" customHeight="1">
      <c r="A117" s="7">
        <v>216</v>
      </c>
      <c r="B117" s="8" t="s">
        <v>13</v>
      </c>
      <c r="C117" s="8" t="s">
        <v>161</v>
      </c>
      <c r="D117" s="8" t="str">
        <f t="shared" si="1"/>
        <v>Тип Бортовые</v>
      </c>
      <c r="E117" s="8" t="s">
        <v>153</v>
      </c>
      <c r="F117" s="8" t="s">
        <v>156</v>
      </c>
      <c r="G117" s="8"/>
      <c r="H117" s="9">
        <v>10.5</v>
      </c>
      <c r="I117" s="9">
        <v>10.5</v>
      </c>
      <c r="J117" s="10">
        <v>3.9</v>
      </c>
      <c r="K117" s="10">
        <v>3.9</v>
      </c>
      <c r="L117" s="10"/>
      <c r="M117" s="10"/>
      <c r="N117" s="10"/>
      <c r="O117" s="7">
        <v>1</v>
      </c>
    </row>
    <row r="118" spans="1:15" ht="11.1" hidden="1" customHeight="1">
      <c r="A118" s="7">
        <v>217</v>
      </c>
      <c r="B118" s="8" t="s">
        <v>13</v>
      </c>
      <c r="C118" s="8" t="s">
        <v>162</v>
      </c>
      <c r="D118" s="8" t="str">
        <f t="shared" si="1"/>
        <v>Тип Бортовые</v>
      </c>
      <c r="E118" s="8" t="s">
        <v>153</v>
      </c>
      <c r="F118" s="8" t="s">
        <v>163</v>
      </c>
      <c r="G118" s="8"/>
      <c r="H118" s="9">
        <v>13</v>
      </c>
      <c r="I118" s="8"/>
      <c r="J118" s="10">
        <v>6.7</v>
      </c>
      <c r="K118" s="10">
        <v>6.7</v>
      </c>
      <c r="L118" s="10"/>
      <c r="M118" s="10"/>
      <c r="N118" s="10"/>
      <c r="O118" s="8"/>
    </row>
    <row r="119" spans="1:15" ht="11.1" hidden="1" customHeight="1">
      <c r="A119" s="7">
        <v>218</v>
      </c>
      <c r="B119" s="8" t="s">
        <v>13</v>
      </c>
      <c r="C119" s="8" t="s">
        <v>164</v>
      </c>
      <c r="D119" s="8" t="str">
        <f t="shared" si="1"/>
        <v>Тип Бортовые</v>
      </c>
      <c r="E119" s="8" t="s">
        <v>153</v>
      </c>
      <c r="F119" s="8" t="s">
        <v>165</v>
      </c>
      <c r="G119" s="8"/>
      <c r="H119" s="9">
        <v>16.5</v>
      </c>
      <c r="I119" s="8"/>
      <c r="J119" s="10">
        <v>6.7</v>
      </c>
      <c r="K119" s="10">
        <v>6.7</v>
      </c>
      <c r="L119" s="10"/>
      <c r="M119" s="10"/>
      <c r="N119" s="10"/>
      <c r="O119" s="7">
        <v>1</v>
      </c>
    </row>
    <row r="120" spans="1:15" ht="11.1" hidden="1" customHeight="1">
      <c r="A120" s="7">
        <v>219</v>
      </c>
      <c r="B120" s="8" t="s">
        <v>13</v>
      </c>
      <c r="C120" s="8" t="s">
        <v>166</v>
      </c>
      <c r="D120" s="8" t="str">
        <f t="shared" si="1"/>
        <v>Тип Бортовые</v>
      </c>
      <c r="E120" s="8" t="s">
        <v>153</v>
      </c>
      <c r="F120" s="8" t="s">
        <v>167</v>
      </c>
      <c r="G120" s="8"/>
      <c r="H120" s="9">
        <v>15</v>
      </c>
      <c r="I120" s="8"/>
      <c r="J120" s="10">
        <v>6.7</v>
      </c>
      <c r="K120" s="10">
        <v>6.7</v>
      </c>
      <c r="L120" s="10"/>
      <c r="M120" s="10"/>
      <c r="N120" s="10"/>
      <c r="O120" s="8"/>
    </row>
    <row r="121" spans="1:15" ht="11.1" hidden="1" customHeight="1">
      <c r="A121" s="7">
        <v>220</v>
      </c>
      <c r="B121" s="8" t="s">
        <v>13</v>
      </c>
      <c r="C121" s="8" t="s">
        <v>168</v>
      </c>
      <c r="D121" s="8" t="str">
        <f t="shared" si="1"/>
        <v>Тип Бортовые</v>
      </c>
      <c r="E121" s="8" t="s">
        <v>153</v>
      </c>
      <c r="F121" s="8" t="s">
        <v>169</v>
      </c>
      <c r="G121" s="12">
        <v>730</v>
      </c>
      <c r="H121" s="9">
        <v>18.5</v>
      </c>
      <c r="I121" s="8"/>
      <c r="J121" s="10">
        <v>6.7</v>
      </c>
      <c r="K121" s="10">
        <v>6.7</v>
      </c>
      <c r="L121" s="10"/>
      <c r="M121" s="10"/>
      <c r="N121" s="10"/>
      <c r="O121" s="8"/>
    </row>
    <row r="122" spans="1:15" ht="11.1" hidden="1" customHeight="1">
      <c r="A122" s="7">
        <v>221</v>
      </c>
      <c r="B122" s="8" t="s">
        <v>13</v>
      </c>
      <c r="C122" s="8" t="s">
        <v>170</v>
      </c>
      <c r="D122" s="8" t="str">
        <f t="shared" si="1"/>
        <v>Тип Бортовые</v>
      </c>
      <c r="E122" s="8" t="s">
        <v>153</v>
      </c>
      <c r="F122" s="8" t="s">
        <v>171</v>
      </c>
      <c r="G122" s="8"/>
      <c r="H122" s="9">
        <v>15.7</v>
      </c>
      <c r="I122" s="8"/>
      <c r="J122" s="10">
        <v>6.7</v>
      </c>
      <c r="K122" s="10">
        <v>6.7</v>
      </c>
      <c r="L122" s="10"/>
      <c r="M122" s="10"/>
      <c r="N122" s="10"/>
      <c r="O122" s="7">
        <v>1</v>
      </c>
    </row>
    <row r="123" spans="1:15" ht="11.1" hidden="1" customHeight="1">
      <c r="A123" s="7">
        <v>222</v>
      </c>
      <c r="B123" s="8" t="s">
        <v>13</v>
      </c>
      <c r="C123" s="8" t="s">
        <v>172</v>
      </c>
      <c r="D123" s="8" t="str">
        <f t="shared" si="1"/>
        <v>Тип Бортовые</v>
      </c>
      <c r="E123" s="8" t="s">
        <v>153</v>
      </c>
      <c r="F123" s="8" t="s">
        <v>173</v>
      </c>
      <c r="G123" s="8"/>
      <c r="H123" s="9">
        <v>16</v>
      </c>
      <c r="I123" s="8"/>
      <c r="J123" s="10">
        <v>6.7</v>
      </c>
      <c r="K123" s="10">
        <v>6.7</v>
      </c>
      <c r="L123" s="10"/>
      <c r="M123" s="10"/>
      <c r="N123" s="10"/>
      <c r="O123" s="8"/>
    </row>
    <row r="124" spans="1:15" ht="11.1" hidden="1" customHeight="1">
      <c r="A124" s="7">
        <v>223</v>
      </c>
      <c r="B124" s="8" t="s">
        <v>13</v>
      </c>
      <c r="C124" s="8" t="s">
        <v>174</v>
      </c>
      <c r="D124" s="8" t="str">
        <f t="shared" si="1"/>
        <v>Тип Бортовые</v>
      </c>
      <c r="E124" s="8" t="s">
        <v>153</v>
      </c>
      <c r="F124" s="8" t="s">
        <v>175</v>
      </c>
      <c r="G124" s="12">
        <v>680</v>
      </c>
      <c r="H124" s="9">
        <v>15.5</v>
      </c>
      <c r="I124" s="8"/>
      <c r="J124" s="10">
        <v>6.7</v>
      </c>
      <c r="K124" s="10">
        <v>6.7</v>
      </c>
      <c r="L124" s="10"/>
      <c r="M124" s="10"/>
      <c r="N124" s="10"/>
      <c r="O124" s="7">
        <v>2</v>
      </c>
    </row>
    <row r="125" spans="1:15" ht="11.1" hidden="1" customHeight="1">
      <c r="A125" s="7">
        <v>224</v>
      </c>
      <c r="B125" s="8" t="s">
        <v>13</v>
      </c>
      <c r="C125" s="8" t="s">
        <v>176</v>
      </c>
      <c r="D125" s="8" t="str">
        <f t="shared" si="1"/>
        <v>Тип Бортовые</v>
      </c>
      <c r="E125" s="8" t="s">
        <v>153</v>
      </c>
      <c r="F125" s="8" t="s">
        <v>177</v>
      </c>
      <c r="G125" s="8"/>
      <c r="H125" s="9">
        <v>13</v>
      </c>
      <c r="I125" s="8"/>
      <c r="J125" s="10">
        <v>6.7</v>
      </c>
      <c r="K125" s="10">
        <v>6.7</v>
      </c>
      <c r="L125" s="10"/>
      <c r="M125" s="10"/>
      <c r="N125" s="10"/>
      <c r="O125" s="8"/>
    </row>
    <row r="126" spans="1:15" ht="11.1" hidden="1" customHeight="1">
      <c r="A126" s="7">
        <v>225</v>
      </c>
      <c r="B126" s="8" t="s">
        <v>13</v>
      </c>
      <c r="C126" s="8" t="s">
        <v>178</v>
      </c>
      <c r="D126" s="8" t="str">
        <f t="shared" si="1"/>
        <v>Тип Бортовые</v>
      </c>
      <c r="E126" s="8" t="s">
        <v>153</v>
      </c>
      <c r="F126" s="8" t="s">
        <v>179</v>
      </c>
      <c r="G126" s="12">
        <v>680</v>
      </c>
      <c r="H126" s="9">
        <v>15.7</v>
      </c>
      <c r="I126" s="8"/>
      <c r="J126" s="10">
        <v>6.7</v>
      </c>
      <c r="K126" s="10">
        <v>6.7</v>
      </c>
      <c r="L126" s="10"/>
      <c r="M126" s="10"/>
      <c r="N126" s="10"/>
      <c r="O126" s="7">
        <v>2</v>
      </c>
    </row>
    <row r="127" spans="1:15" ht="11.1" hidden="1" customHeight="1">
      <c r="A127" s="7">
        <v>226</v>
      </c>
      <c r="B127" s="8" t="s">
        <v>13</v>
      </c>
      <c r="C127" s="8" t="s">
        <v>180</v>
      </c>
      <c r="D127" s="8" t="str">
        <f t="shared" si="1"/>
        <v>Тип Бортовые</v>
      </c>
      <c r="E127" s="8" t="s">
        <v>153</v>
      </c>
      <c r="F127" s="8" t="s">
        <v>173</v>
      </c>
      <c r="G127" s="8"/>
      <c r="H127" s="9">
        <v>15.7</v>
      </c>
      <c r="I127" s="8"/>
      <c r="J127" s="10">
        <v>6.7</v>
      </c>
      <c r="K127" s="10">
        <v>6.7</v>
      </c>
      <c r="L127" s="10"/>
      <c r="M127" s="10"/>
      <c r="N127" s="10"/>
      <c r="O127" s="7">
        <v>2</v>
      </c>
    </row>
    <row r="128" spans="1:15" ht="11.1" hidden="1" customHeight="1">
      <c r="A128" s="7">
        <v>227</v>
      </c>
      <c r="B128" s="8" t="s">
        <v>13</v>
      </c>
      <c r="C128" s="8" t="s">
        <v>181</v>
      </c>
      <c r="D128" s="8" t="str">
        <f t="shared" si="1"/>
        <v>Тип Бортовые</v>
      </c>
      <c r="E128" s="8" t="s">
        <v>153</v>
      </c>
      <c r="F128" s="8" t="s">
        <v>156</v>
      </c>
      <c r="G128" s="8"/>
      <c r="H128" s="9">
        <v>12</v>
      </c>
      <c r="I128" s="8"/>
      <c r="J128" s="10">
        <v>6.7</v>
      </c>
      <c r="K128" s="10">
        <v>6.7</v>
      </c>
      <c r="L128" s="10"/>
      <c r="M128" s="10"/>
      <c r="N128" s="10"/>
      <c r="O128" s="7">
        <v>1</v>
      </c>
    </row>
    <row r="129" spans="1:15" ht="11.1" hidden="1" customHeight="1">
      <c r="A129" s="7">
        <v>228</v>
      </c>
      <c r="B129" s="8" t="s">
        <v>13</v>
      </c>
      <c r="C129" s="8" t="s">
        <v>182</v>
      </c>
      <c r="D129" s="8" t="str">
        <f t="shared" si="1"/>
        <v>Тип Бортовые</v>
      </c>
      <c r="E129" s="8" t="s">
        <v>153</v>
      </c>
      <c r="F129" s="8" t="s">
        <v>173</v>
      </c>
      <c r="G129" s="8"/>
      <c r="H129" s="9">
        <v>16</v>
      </c>
      <c r="I129" s="8"/>
      <c r="J129" s="10">
        <v>6.7</v>
      </c>
      <c r="K129" s="10">
        <v>6.7</v>
      </c>
      <c r="L129" s="10"/>
      <c r="M129" s="10"/>
      <c r="N129" s="10"/>
      <c r="O129" s="7">
        <v>1</v>
      </c>
    </row>
    <row r="130" spans="1:15" ht="11.1" hidden="1" customHeight="1">
      <c r="A130" s="7">
        <v>229</v>
      </c>
      <c r="B130" s="8" t="s">
        <v>13</v>
      </c>
      <c r="C130" s="8" t="s">
        <v>183</v>
      </c>
      <c r="D130" s="8" t="str">
        <f t="shared" si="1"/>
        <v>Тип Бортовые</v>
      </c>
      <c r="E130" s="8" t="s">
        <v>153</v>
      </c>
      <c r="F130" s="8" t="s">
        <v>184</v>
      </c>
      <c r="G130" s="8"/>
      <c r="H130" s="9">
        <v>24.5</v>
      </c>
      <c r="I130" s="8"/>
      <c r="J130" s="10">
        <v>6.7</v>
      </c>
      <c r="K130" s="10">
        <v>6.7</v>
      </c>
      <c r="L130" s="10"/>
      <c r="M130" s="10"/>
      <c r="N130" s="10"/>
      <c r="O130" s="8"/>
    </row>
    <row r="131" spans="1:15" ht="11.1" hidden="1" customHeight="1">
      <c r="A131" s="7">
        <v>230</v>
      </c>
      <c r="B131" s="8" t="s">
        <v>13</v>
      </c>
      <c r="C131" s="8" t="s">
        <v>185</v>
      </c>
      <c r="D131" s="8" t="str">
        <f t="shared" si="1"/>
        <v>Тип Бортовые</v>
      </c>
      <c r="E131" s="8" t="s">
        <v>153</v>
      </c>
      <c r="F131" s="8" t="s">
        <v>173</v>
      </c>
      <c r="G131" s="8"/>
      <c r="H131" s="9">
        <v>16</v>
      </c>
      <c r="I131" s="8"/>
      <c r="J131" s="10">
        <v>6.7</v>
      </c>
      <c r="K131" s="10">
        <v>6.7</v>
      </c>
      <c r="L131" s="10"/>
      <c r="M131" s="10"/>
      <c r="N131" s="10"/>
      <c r="O131" s="7">
        <v>1</v>
      </c>
    </row>
    <row r="132" spans="1:15" ht="11.1" hidden="1" customHeight="1">
      <c r="A132" s="7">
        <v>231</v>
      </c>
      <c r="B132" s="8" t="s">
        <v>13</v>
      </c>
      <c r="C132" s="8" t="s">
        <v>186</v>
      </c>
      <c r="D132" s="8" t="str">
        <f t="shared" si="1"/>
        <v>Тип Бортовые</v>
      </c>
      <c r="E132" s="8" t="s">
        <v>153</v>
      </c>
      <c r="F132" s="8" t="s">
        <v>173</v>
      </c>
      <c r="G132" s="12">
        <v>770</v>
      </c>
      <c r="H132" s="9">
        <v>21</v>
      </c>
      <c r="I132" s="8"/>
      <c r="J132" s="10">
        <v>6.7</v>
      </c>
      <c r="K132" s="10">
        <v>6.7</v>
      </c>
      <c r="L132" s="10"/>
      <c r="M132" s="10"/>
      <c r="N132" s="10"/>
      <c r="O132" s="7">
        <v>1</v>
      </c>
    </row>
    <row r="133" spans="1:15" ht="11.1" hidden="1" customHeight="1">
      <c r="A133" s="7">
        <v>232</v>
      </c>
      <c r="B133" s="8" t="s">
        <v>13</v>
      </c>
      <c r="C133" s="8" t="s">
        <v>187</v>
      </c>
      <c r="D133" s="8" t="str">
        <f t="shared" si="1"/>
        <v>Тип Бортовые</v>
      </c>
      <c r="E133" s="8" t="s">
        <v>153</v>
      </c>
      <c r="F133" s="8" t="s">
        <v>188</v>
      </c>
      <c r="G133" s="12">
        <v>800</v>
      </c>
      <c r="H133" s="9">
        <v>27.2</v>
      </c>
      <c r="I133" s="8"/>
      <c r="J133" s="10">
        <v>5.5</v>
      </c>
      <c r="K133" s="10">
        <v>5.5</v>
      </c>
      <c r="L133" s="10"/>
      <c r="M133" s="10"/>
      <c r="N133" s="10"/>
      <c r="O133" s="7">
        <v>1</v>
      </c>
    </row>
    <row r="134" spans="1:15" ht="11.1" hidden="1" customHeight="1">
      <c r="A134" s="7">
        <v>233</v>
      </c>
      <c r="B134" s="8" t="s">
        <v>13</v>
      </c>
      <c r="C134" s="8" t="s">
        <v>189</v>
      </c>
      <c r="D134" s="8" t="str">
        <f t="shared" si="1"/>
        <v>Тип Бортовые</v>
      </c>
      <c r="E134" s="8" t="s">
        <v>153</v>
      </c>
      <c r="F134" s="8" t="s">
        <v>190</v>
      </c>
      <c r="G134" s="12">
        <v>770</v>
      </c>
      <c r="H134" s="9">
        <v>17.3</v>
      </c>
      <c r="I134" s="8"/>
      <c r="J134" s="10">
        <v>5.5</v>
      </c>
      <c r="K134" s="10">
        <v>5.5</v>
      </c>
      <c r="L134" s="10"/>
      <c r="M134" s="10"/>
      <c r="N134" s="10"/>
      <c r="O134" s="7">
        <v>1</v>
      </c>
    </row>
    <row r="135" spans="1:15" ht="11.1" hidden="1" customHeight="1">
      <c r="A135" s="7">
        <v>234</v>
      </c>
      <c r="B135" s="8" t="s">
        <v>13</v>
      </c>
      <c r="C135" s="8" t="s">
        <v>191</v>
      </c>
      <c r="D135" s="8" t="str">
        <f t="shared" ref="D135:D198" si="2">CONCATENATE("Тип"," ",E135)</f>
        <v>Тип Бортовые</v>
      </c>
      <c r="E135" s="8" t="s">
        <v>153</v>
      </c>
      <c r="F135" s="8" t="s">
        <v>184</v>
      </c>
      <c r="G135" s="8"/>
      <c r="H135" s="9">
        <v>19.5</v>
      </c>
      <c r="I135" s="8"/>
      <c r="J135" s="10">
        <v>5.5</v>
      </c>
      <c r="K135" s="10">
        <v>5.5</v>
      </c>
      <c r="L135" s="10"/>
      <c r="M135" s="10"/>
      <c r="N135" s="10"/>
      <c r="O135" s="7">
        <v>1</v>
      </c>
    </row>
    <row r="136" spans="1:15" ht="11.1" hidden="1" customHeight="1">
      <c r="A136" s="7">
        <v>235</v>
      </c>
      <c r="B136" s="8" t="s">
        <v>13</v>
      </c>
      <c r="C136" s="8" t="s">
        <v>192</v>
      </c>
      <c r="D136" s="8" t="str">
        <f t="shared" si="2"/>
        <v>Тип Бортовые</v>
      </c>
      <c r="E136" s="8" t="s">
        <v>153</v>
      </c>
      <c r="F136" s="8" t="s">
        <v>193</v>
      </c>
      <c r="G136" s="12">
        <v>770</v>
      </c>
      <c r="H136" s="9">
        <v>17.5</v>
      </c>
      <c r="I136" s="8"/>
      <c r="J136" s="10">
        <v>5.5</v>
      </c>
      <c r="K136" s="10">
        <v>5.5</v>
      </c>
      <c r="L136" s="10"/>
      <c r="M136" s="10"/>
      <c r="N136" s="10"/>
      <c r="O136" s="7">
        <v>1</v>
      </c>
    </row>
    <row r="137" spans="1:15" ht="11.1" hidden="1" customHeight="1">
      <c r="A137" s="7">
        <v>236</v>
      </c>
      <c r="B137" s="8" t="s">
        <v>13</v>
      </c>
      <c r="C137" s="8" t="s">
        <v>194</v>
      </c>
      <c r="D137" s="8" t="str">
        <f t="shared" si="2"/>
        <v>Тип Бортовые</v>
      </c>
      <c r="E137" s="8" t="s">
        <v>153</v>
      </c>
      <c r="F137" s="8" t="s">
        <v>156</v>
      </c>
      <c r="G137" s="8"/>
      <c r="H137" s="9">
        <v>12</v>
      </c>
      <c r="I137" s="9">
        <v>1</v>
      </c>
      <c r="J137" s="10">
        <v>5.9</v>
      </c>
      <c r="K137" s="10">
        <v>5.9</v>
      </c>
      <c r="L137" s="10"/>
      <c r="M137" s="10"/>
      <c r="N137" s="10"/>
      <c r="O137" s="7">
        <v>2</v>
      </c>
    </row>
    <row r="138" spans="1:15" ht="11.1" hidden="1" customHeight="1">
      <c r="A138" s="7">
        <v>243</v>
      </c>
      <c r="B138" s="8" t="s">
        <v>13</v>
      </c>
      <c r="C138" s="8" t="s">
        <v>195</v>
      </c>
      <c r="D138" s="8" t="str">
        <f t="shared" si="2"/>
        <v>Тип Бортовые</v>
      </c>
      <c r="E138" s="8" t="s">
        <v>153</v>
      </c>
      <c r="F138" s="8" t="s">
        <v>196</v>
      </c>
      <c r="G138" s="8"/>
      <c r="H138" s="9">
        <v>33</v>
      </c>
      <c r="I138" s="8"/>
      <c r="J138" s="10">
        <v>13.9</v>
      </c>
      <c r="K138" s="10">
        <v>13.9</v>
      </c>
      <c r="L138" s="10"/>
      <c r="M138" s="10"/>
      <c r="N138" s="10"/>
      <c r="O138" s="7">
        <v>2</v>
      </c>
    </row>
    <row r="139" spans="1:15" ht="11.1" hidden="1" customHeight="1">
      <c r="A139" s="7">
        <v>244</v>
      </c>
      <c r="B139" s="8" t="s">
        <v>13</v>
      </c>
      <c r="C139" s="8" t="s">
        <v>197</v>
      </c>
      <c r="D139" s="8" t="str">
        <f t="shared" si="2"/>
        <v>Тип Бортовые</v>
      </c>
      <c r="E139" s="8" t="s">
        <v>153</v>
      </c>
      <c r="F139" s="8" t="s">
        <v>156</v>
      </c>
      <c r="G139" s="8"/>
      <c r="H139" s="9">
        <v>32</v>
      </c>
      <c r="I139" s="8"/>
      <c r="J139" s="10">
        <v>13.9</v>
      </c>
      <c r="K139" s="10">
        <v>13.9</v>
      </c>
      <c r="L139" s="10"/>
      <c r="M139" s="10"/>
      <c r="N139" s="10"/>
      <c r="O139" s="7">
        <v>1</v>
      </c>
    </row>
    <row r="140" spans="1:15" ht="11.1" hidden="1" customHeight="1">
      <c r="A140" s="7">
        <v>245</v>
      </c>
      <c r="B140" s="8" t="s">
        <v>13</v>
      </c>
      <c r="C140" s="8" t="s">
        <v>198</v>
      </c>
      <c r="D140" s="8" t="str">
        <f t="shared" si="2"/>
        <v>Тип Бортовые</v>
      </c>
      <c r="E140" s="8" t="s">
        <v>153</v>
      </c>
      <c r="F140" s="8" t="s">
        <v>156</v>
      </c>
      <c r="G140" s="8"/>
      <c r="H140" s="9">
        <v>28</v>
      </c>
      <c r="I140" s="8"/>
      <c r="J140" s="10">
        <v>13.9</v>
      </c>
      <c r="K140" s="10">
        <v>13.9</v>
      </c>
      <c r="L140" s="10"/>
      <c r="M140" s="10"/>
      <c r="N140" s="10"/>
      <c r="O140" s="7">
        <v>1</v>
      </c>
    </row>
    <row r="141" spans="1:15" ht="11.1" hidden="1" customHeight="1">
      <c r="A141" s="7">
        <v>246</v>
      </c>
      <c r="B141" s="8" t="s">
        <v>13</v>
      </c>
      <c r="C141" s="8" t="s">
        <v>199</v>
      </c>
      <c r="D141" s="8" t="str">
        <f t="shared" si="2"/>
        <v>Тип Бортовые</v>
      </c>
      <c r="E141" s="8" t="s">
        <v>153</v>
      </c>
      <c r="F141" s="8" t="s">
        <v>200</v>
      </c>
      <c r="G141" s="12">
        <v>850</v>
      </c>
      <c r="H141" s="9">
        <v>25</v>
      </c>
      <c r="I141" s="8"/>
      <c r="J141" s="10">
        <v>13.9</v>
      </c>
      <c r="K141" s="10">
        <v>13.9</v>
      </c>
      <c r="L141" s="10"/>
      <c r="M141" s="10"/>
      <c r="N141" s="10"/>
      <c r="O141" s="8"/>
    </row>
    <row r="142" spans="1:15" ht="11.1" hidden="1" customHeight="1">
      <c r="A142" s="7">
        <v>247</v>
      </c>
      <c r="B142" s="8" t="s">
        <v>13</v>
      </c>
      <c r="C142" s="8" t="s">
        <v>201</v>
      </c>
      <c r="D142" s="8" t="str">
        <f t="shared" si="2"/>
        <v>Тип Бортовые</v>
      </c>
      <c r="E142" s="8" t="s">
        <v>153</v>
      </c>
      <c r="F142" s="8" t="s">
        <v>196</v>
      </c>
      <c r="G142" s="11">
        <v>1000</v>
      </c>
      <c r="H142" s="9">
        <v>28.8</v>
      </c>
      <c r="I142" s="8"/>
      <c r="J142" s="10">
        <v>13.9</v>
      </c>
      <c r="K142" s="10">
        <v>13.9</v>
      </c>
      <c r="L142" s="10"/>
      <c r="M142" s="10"/>
      <c r="N142" s="10"/>
      <c r="O142" s="8"/>
    </row>
    <row r="143" spans="1:15" ht="11.1" hidden="1" customHeight="1">
      <c r="A143" s="7">
        <v>249</v>
      </c>
      <c r="B143" s="8" t="s">
        <v>13</v>
      </c>
      <c r="C143" s="8" t="s">
        <v>202</v>
      </c>
      <c r="D143" s="8" t="str">
        <f t="shared" si="2"/>
        <v>Тип Бортовые</v>
      </c>
      <c r="E143" s="8" t="s">
        <v>153</v>
      </c>
      <c r="F143" s="8" t="s">
        <v>156</v>
      </c>
      <c r="G143" s="11">
        <v>1100</v>
      </c>
      <c r="H143" s="9">
        <v>35</v>
      </c>
      <c r="I143" s="9">
        <v>9.9</v>
      </c>
      <c r="J143" s="10">
        <v>13.9</v>
      </c>
      <c r="K143" s="10">
        <v>13.9</v>
      </c>
      <c r="L143" s="10"/>
      <c r="M143" s="10"/>
      <c r="N143" s="10"/>
      <c r="O143" s="7">
        <v>1</v>
      </c>
    </row>
    <row r="144" spans="1:15" ht="11.1" customHeight="1">
      <c r="A144" s="7">
        <v>259</v>
      </c>
      <c r="B144" s="8" t="s">
        <v>13</v>
      </c>
      <c r="C144" s="17" t="s">
        <v>203</v>
      </c>
      <c r="D144" s="8" t="str">
        <f>CONCATENATE("Тип"," ",E144)</f>
        <v>Тип Бульдозеры</v>
      </c>
      <c r="E144" s="8" t="s">
        <v>204</v>
      </c>
      <c r="F144" s="8"/>
      <c r="G144" s="8"/>
      <c r="H144" s="9">
        <v>15</v>
      </c>
      <c r="I144" s="9">
        <v>15</v>
      </c>
      <c r="J144" s="14">
        <v>15</v>
      </c>
      <c r="K144" s="14">
        <v>15</v>
      </c>
      <c r="L144" s="14"/>
      <c r="M144" s="14"/>
      <c r="N144" s="14"/>
      <c r="O144" s="7">
        <v>1</v>
      </c>
    </row>
    <row r="145" spans="1:16" ht="11.1" customHeight="1">
      <c r="A145" s="7"/>
      <c r="B145" s="8"/>
      <c r="C145" s="8" t="s">
        <v>205</v>
      </c>
      <c r="D145" s="8" t="str">
        <f t="shared" si="2"/>
        <v>Тип Бульдозеры</v>
      </c>
      <c r="E145" s="8" t="s">
        <v>204</v>
      </c>
      <c r="F145" s="8"/>
      <c r="G145" s="8"/>
      <c r="H145" s="9"/>
      <c r="I145" s="9"/>
      <c r="J145" s="14">
        <v>17.399999999999999</v>
      </c>
      <c r="K145" s="14">
        <v>17.399999999999999</v>
      </c>
      <c r="L145" s="14"/>
      <c r="M145" s="14"/>
      <c r="N145" s="14"/>
      <c r="O145" s="7"/>
    </row>
    <row r="146" spans="1:16" ht="11.1" customHeight="1">
      <c r="A146" s="7">
        <v>260</v>
      </c>
      <c r="B146" s="8" t="s">
        <v>13</v>
      </c>
      <c r="C146" s="8" t="s">
        <v>206</v>
      </c>
      <c r="D146" s="8" t="str">
        <f t="shared" si="2"/>
        <v>Тип Бульдозеры</v>
      </c>
      <c r="E146" s="8" t="s">
        <v>204</v>
      </c>
      <c r="F146" s="8" t="s">
        <v>207</v>
      </c>
      <c r="G146" s="8"/>
      <c r="H146" s="9">
        <v>17.399999999999999</v>
      </c>
      <c r="I146" s="9">
        <v>17.399999999999999</v>
      </c>
      <c r="J146" s="14">
        <v>17.399999999999999</v>
      </c>
      <c r="K146" s="14">
        <v>17.399999999999999</v>
      </c>
      <c r="L146" s="14"/>
      <c r="M146" s="14"/>
      <c r="N146" s="14"/>
      <c r="O146" s="7">
        <v>2</v>
      </c>
    </row>
    <row r="147" spans="1:16" ht="11.1" customHeight="1">
      <c r="A147" s="7">
        <v>261</v>
      </c>
      <c r="B147" s="8" t="s">
        <v>13</v>
      </c>
      <c r="C147" s="8" t="s">
        <v>208</v>
      </c>
      <c r="D147" s="8" t="str">
        <f t="shared" si="2"/>
        <v>Тип Бульдозеры</v>
      </c>
      <c r="E147" s="8" t="s">
        <v>204</v>
      </c>
      <c r="F147" s="8" t="s">
        <v>207</v>
      </c>
      <c r="G147" s="11">
        <v>1700</v>
      </c>
      <c r="H147" s="9">
        <v>18.2</v>
      </c>
      <c r="I147" s="9">
        <v>18.2</v>
      </c>
      <c r="J147" s="14">
        <v>18.2</v>
      </c>
      <c r="K147" s="14">
        <v>18.2</v>
      </c>
      <c r="L147" s="14"/>
      <c r="M147" s="14"/>
      <c r="N147" s="14"/>
      <c r="O147" s="7">
        <v>3</v>
      </c>
    </row>
    <row r="148" spans="1:16" ht="11.1" customHeight="1">
      <c r="A148" s="7">
        <v>271</v>
      </c>
      <c r="B148" s="8" t="s">
        <v>13</v>
      </c>
      <c r="C148" s="8" t="s">
        <v>209</v>
      </c>
      <c r="D148" s="8" t="str">
        <f t="shared" si="2"/>
        <v>Тип Бульдозеры</v>
      </c>
      <c r="E148" s="8" t="s">
        <v>204</v>
      </c>
      <c r="F148" s="8"/>
      <c r="G148" s="11">
        <v>1700</v>
      </c>
      <c r="H148" s="9">
        <v>19</v>
      </c>
      <c r="I148" s="9">
        <v>19</v>
      </c>
      <c r="J148" s="10">
        <v>21.6</v>
      </c>
      <c r="K148" s="10">
        <v>21.6</v>
      </c>
      <c r="L148" s="10"/>
      <c r="M148" s="10"/>
      <c r="N148" s="10"/>
      <c r="O148" s="7">
        <v>3</v>
      </c>
      <c r="P148" s="6" t="s">
        <v>210</v>
      </c>
    </row>
    <row r="149" spans="1:16" ht="11.1" hidden="1" customHeight="1">
      <c r="A149" s="7">
        <v>302</v>
      </c>
      <c r="B149" s="8" t="s">
        <v>13</v>
      </c>
      <c r="C149" s="8" t="s">
        <v>211</v>
      </c>
      <c r="D149" s="8" t="str">
        <f t="shared" si="2"/>
        <v>Тип Вибропогружатели</v>
      </c>
      <c r="E149" s="8" t="s">
        <v>212</v>
      </c>
      <c r="F149" s="8" t="s">
        <v>213</v>
      </c>
      <c r="G149" s="8"/>
      <c r="H149" s="9">
        <v>10</v>
      </c>
      <c r="I149" s="9">
        <v>10</v>
      </c>
      <c r="J149" s="10">
        <v>10.3</v>
      </c>
      <c r="K149" s="10">
        <v>10.3</v>
      </c>
      <c r="L149" s="10"/>
      <c r="M149" s="10"/>
      <c r="N149" s="10"/>
      <c r="O149" s="7">
        <v>2</v>
      </c>
    </row>
    <row r="150" spans="1:16" ht="11.1" hidden="1" customHeight="1">
      <c r="A150" s="7">
        <v>303</v>
      </c>
      <c r="B150" s="8" t="s">
        <v>13</v>
      </c>
      <c r="C150" s="8" t="s">
        <v>214</v>
      </c>
      <c r="D150" s="8" t="str">
        <f t="shared" si="2"/>
        <v>Тип Вибропогружатели</v>
      </c>
      <c r="E150" s="8" t="s">
        <v>212</v>
      </c>
      <c r="F150" s="8" t="s">
        <v>213</v>
      </c>
      <c r="G150" s="8"/>
      <c r="H150" s="9">
        <v>18.5</v>
      </c>
      <c r="I150" s="9">
        <v>18.5</v>
      </c>
      <c r="J150" s="10">
        <v>18.5</v>
      </c>
      <c r="K150" s="10">
        <v>18.5</v>
      </c>
      <c r="L150" s="10"/>
      <c r="M150" s="10"/>
      <c r="N150" s="10"/>
      <c r="O150" s="7">
        <v>1</v>
      </c>
    </row>
    <row r="151" spans="1:16" ht="11.1" hidden="1" customHeight="1">
      <c r="A151" s="7">
        <v>304</v>
      </c>
      <c r="B151" s="8" t="s">
        <v>13</v>
      </c>
      <c r="C151" s="8" t="s">
        <v>215</v>
      </c>
      <c r="D151" s="8" t="str">
        <f t="shared" si="2"/>
        <v>Тип Вибропогружатели</v>
      </c>
      <c r="E151" s="8" t="s">
        <v>212</v>
      </c>
      <c r="F151" s="8" t="s">
        <v>213</v>
      </c>
      <c r="G151" s="8"/>
      <c r="H151" s="9">
        <v>22</v>
      </c>
      <c r="I151" s="9">
        <v>22</v>
      </c>
      <c r="J151" s="10">
        <v>24.6</v>
      </c>
      <c r="K151" s="10">
        <v>24.6</v>
      </c>
      <c r="L151" s="10"/>
      <c r="M151" s="10"/>
      <c r="N151" s="10"/>
      <c r="O151" s="7">
        <v>3</v>
      </c>
    </row>
    <row r="152" spans="1:16" ht="11.1" hidden="1" customHeight="1">
      <c r="A152" s="7">
        <v>305</v>
      </c>
      <c r="B152" s="8" t="s">
        <v>13</v>
      </c>
      <c r="C152" s="8" t="s">
        <v>216</v>
      </c>
      <c r="D152" s="8" t="str">
        <f t="shared" si="2"/>
        <v>Тип Вибропогружатели</v>
      </c>
      <c r="E152" s="8" t="s">
        <v>212</v>
      </c>
      <c r="F152" s="8" t="s">
        <v>213</v>
      </c>
      <c r="G152" s="8"/>
      <c r="H152" s="9">
        <v>23</v>
      </c>
      <c r="I152" s="9">
        <v>23</v>
      </c>
      <c r="J152" s="10">
        <v>24.6</v>
      </c>
      <c r="K152" s="10">
        <v>24.6</v>
      </c>
      <c r="L152" s="10"/>
      <c r="M152" s="10"/>
      <c r="N152" s="10"/>
      <c r="O152" s="7">
        <v>2</v>
      </c>
    </row>
    <row r="153" spans="1:16" ht="11.1" hidden="1" customHeight="1">
      <c r="A153" s="7">
        <v>306</v>
      </c>
      <c r="B153" s="8" t="s">
        <v>13</v>
      </c>
      <c r="C153" s="8" t="s">
        <v>217</v>
      </c>
      <c r="D153" s="8" t="str">
        <f t="shared" si="2"/>
        <v>Тип Вибропогружатели</v>
      </c>
      <c r="E153" s="8" t="s">
        <v>212</v>
      </c>
      <c r="F153" s="8" t="s">
        <v>213</v>
      </c>
      <c r="G153" s="8"/>
      <c r="H153" s="9">
        <v>23</v>
      </c>
      <c r="I153" s="9">
        <v>23</v>
      </c>
      <c r="J153" s="10">
        <v>24.6</v>
      </c>
      <c r="K153" s="10">
        <v>24.6</v>
      </c>
      <c r="L153" s="10"/>
      <c r="M153" s="10"/>
      <c r="N153" s="10"/>
      <c r="O153" s="7">
        <v>2</v>
      </c>
    </row>
    <row r="154" spans="1:16" ht="11.1" hidden="1" customHeight="1">
      <c r="A154" s="7">
        <v>326</v>
      </c>
      <c r="B154" s="8" t="s">
        <v>13</v>
      </c>
      <c r="C154" s="8" t="s">
        <v>218</v>
      </c>
      <c r="D154" s="8" t="str">
        <f t="shared" si="2"/>
        <v>Тип Электростанции</v>
      </c>
      <c r="E154" s="8" t="s">
        <v>219</v>
      </c>
      <c r="F154" s="8"/>
      <c r="G154" s="8"/>
      <c r="H154" s="9">
        <v>1.9</v>
      </c>
      <c r="I154" s="9">
        <v>1.9</v>
      </c>
      <c r="J154" s="14">
        <v>1.9</v>
      </c>
      <c r="K154" s="14">
        <v>1.9</v>
      </c>
      <c r="L154" s="14"/>
      <c r="M154" s="14"/>
      <c r="N154" s="14"/>
      <c r="O154" s="7">
        <v>2</v>
      </c>
    </row>
    <row r="155" spans="1:16" ht="11.1" hidden="1" customHeight="1">
      <c r="A155" s="7">
        <v>327</v>
      </c>
      <c r="B155" s="8" t="s">
        <v>13</v>
      </c>
      <c r="C155" s="8" t="s">
        <v>220</v>
      </c>
      <c r="D155" s="8" t="str">
        <f t="shared" si="2"/>
        <v>Тип Электростанции</v>
      </c>
      <c r="E155" s="8" t="s">
        <v>219</v>
      </c>
      <c r="F155" s="8"/>
      <c r="G155" s="12">
        <v>150</v>
      </c>
      <c r="H155" s="9">
        <v>7.1</v>
      </c>
      <c r="I155" s="18" t="s">
        <v>221</v>
      </c>
      <c r="J155" s="14">
        <v>3.9</v>
      </c>
      <c r="K155" s="14">
        <v>3.9</v>
      </c>
      <c r="L155" s="14"/>
      <c r="M155" s="14"/>
      <c r="N155" s="14"/>
      <c r="O155" s="7">
        <v>4</v>
      </c>
    </row>
    <row r="156" spans="1:16" ht="11.1" hidden="1" customHeight="1">
      <c r="A156" s="7">
        <v>328</v>
      </c>
      <c r="B156" s="8" t="s">
        <v>13</v>
      </c>
      <c r="C156" s="8" t="s">
        <v>222</v>
      </c>
      <c r="D156" s="8" t="str">
        <f t="shared" si="2"/>
        <v>Тип Электростанции</v>
      </c>
      <c r="E156" s="8" t="s">
        <v>219</v>
      </c>
      <c r="F156" s="8"/>
      <c r="G156" s="8"/>
      <c r="H156" s="9">
        <v>5</v>
      </c>
      <c r="I156" s="9">
        <v>5</v>
      </c>
      <c r="J156" s="14">
        <v>5</v>
      </c>
      <c r="K156" s="14">
        <v>5</v>
      </c>
      <c r="L156" s="14"/>
      <c r="M156" s="14"/>
      <c r="N156" s="14"/>
      <c r="O156" s="7">
        <v>6</v>
      </c>
    </row>
    <row r="157" spans="1:16" ht="11.1" hidden="1" customHeight="1">
      <c r="A157" s="7">
        <v>331</v>
      </c>
      <c r="B157" s="8" t="s">
        <v>13</v>
      </c>
      <c r="C157" s="8" t="s">
        <v>223</v>
      </c>
      <c r="D157" s="8" t="str">
        <f t="shared" si="2"/>
        <v>Тип Электростанции</v>
      </c>
      <c r="E157" s="8" t="s">
        <v>219</v>
      </c>
      <c r="F157" s="8" t="s">
        <v>224</v>
      </c>
      <c r="G157" s="8"/>
      <c r="H157" s="9">
        <v>12</v>
      </c>
      <c r="I157" s="9">
        <v>12</v>
      </c>
      <c r="J157" s="10">
        <v>17.600000000000001</v>
      </c>
      <c r="K157" s="10">
        <v>17.600000000000001</v>
      </c>
      <c r="L157" s="10"/>
      <c r="M157" s="10"/>
      <c r="N157" s="10"/>
      <c r="O157" s="7">
        <v>2</v>
      </c>
    </row>
    <row r="158" spans="1:16" ht="11.1" hidden="1" customHeight="1">
      <c r="A158" s="7">
        <v>332</v>
      </c>
      <c r="B158" s="8" t="s">
        <v>13</v>
      </c>
      <c r="C158" s="8" t="s">
        <v>225</v>
      </c>
      <c r="D158" s="8" t="str">
        <f t="shared" si="2"/>
        <v>Тип Электростанции</v>
      </c>
      <c r="E158" s="8" t="s">
        <v>219</v>
      </c>
      <c r="F158" s="8"/>
      <c r="G158" s="12">
        <v>200</v>
      </c>
      <c r="H158" s="9">
        <v>6.4</v>
      </c>
      <c r="I158" s="9">
        <v>6.4</v>
      </c>
      <c r="J158" s="10">
        <v>9</v>
      </c>
      <c r="K158" s="10">
        <v>9</v>
      </c>
      <c r="L158" s="10"/>
      <c r="M158" s="10"/>
      <c r="N158" s="10"/>
      <c r="O158" s="7">
        <v>22</v>
      </c>
    </row>
    <row r="159" spans="1:16" ht="11.1" hidden="1" customHeight="1">
      <c r="A159" s="7">
        <v>333</v>
      </c>
      <c r="B159" s="8" t="s">
        <v>13</v>
      </c>
      <c r="C159" s="8" t="s">
        <v>226</v>
      </c>
      <c r="D159" s="8" t="str">
        <f t="shared" si="2"/>
        <v>Тип Электростанции</v>
      </c>
      <c r="E159" s="8" t="s">
        <v>219</v>
      </c>
      <c r="F159" s="8" t="s">
        <v>224</v>
      </c>
      <c r="G159" s="8"/>
      <c r="H159" s="9">
        <v>3.4</v>
      </c>
      <c r="I159" s="9">
        <v>3.4</v>
      </c>
      <c r="J159" s="10">
        <v>2.2999999999999998</v>
      </c>
      <c r="K159" s="10">
        <v>2.2999999999999998</v>
      </c>
      <c r="L159" s="10"/>
      <c r="M159" s="10"/>
      <c r="N159" s="10"/>
      <c r="O159" s="7">
        <v>5</v>
      </c>
    </row>
    <row r="160" spans="1:16" ht="11.1" hidden="1" customHeight="1">
      <c r="A160" s="7">
        <v>334</v>
      </c>
      <c r="B160" s="8" t="s">
        <v>13</v>
      </c>
      <c r="C160" s="8" t="s">
        <v>227</v>
      </c>
      <c r="D160" s="8" t="str">
        <f t="shared" si="2"/>
        <v>Тип Электростанции</v>
      </c>
      <c r="E160" s="8" t="s">
        <v>219</v>
      </c>
      <c r="F160" s="8" t="s">
        <v>224</v>
      </c>
      <c r="G160" s="8"/>
      <c r="H160" s="8"/>
      <c r="I160" s="8"/>
      <c r="J160" s="10">
        <v>12.3</v>
      </c>
      <c r="K160" s="10">
        <v>12.3</v>
      </c>
      <c r="L160" s="10"/>
      <c r="M160" s="10"/>
      <c r="N160" s="10"/>
      <c r="O160" s="8"/>
    </row>
    <row r="161" spans="1:16" ht="11.1" hidden="1" customHeight="1">
      <c r="A161" s="7">
        <v>336</v>
      </c>
      <c r="B161" s="8" t="s">
        <v>13</v>
      </c>
      <c r="C161" s="8" t="s">
        <v>228</v>
      </c>
      <c r="D161" s="8" t="str">
        <f t="shared" si="2"/>
        <v>Тип Электростанции</v>
      </c>
      <c r="E161" s="8" t="s">
        <v>219</v>
      </c>
      <c r="F161" s="8" t="s">
        <v>224</v>
      </c>
      <c r="G161" s="8"/>
      <c r="H161" s="9">
        <v>25</v>
      </c>
      <c r="I161" s="9">
        <v>25</v>
      </c>
      <c r="J161" s="10">
        <v>18.899999999999999</v>
      </c>
      <c r="K161" s="10">
        <v>18.899999999999999</v>
      </c>
      <c r="L161" s="10"/>
      <c r="M161" s="10"/>
      <c r="N161" s="10"/>
      <c r="O161" s="7">
        <v>1</v>
      </c>
    </row>
    <row r="162" spans="1:16" ht="11.1" hidden="1" customHeight="1">
      <c r="A162" s="7">
        <v>337</v>
      </c>
      <c r="B162" s="8" t="s">
        <v>13</v>
      </c>
      <c r="C162" s="8" t="s">
        <v>229</v>
      </c>
      <c r="D162" s="8" t="str">
        <f t="shared" si="2"/>
        <v>Тип Электростанции</v>
      </c>
      <c r="E162" s="8" t="s">
        <v>219</v>
      </c>
      <c r="F162" s="8"/>
      <c r="G162" s="12">
        <v>150</v>
      </c>
      <c r="H162" s="9">
        <v>5.3</v>
      </c>
      <c r="I162" s="9">
        <v>5.3</v>
      </c>
      <c r="J162" s="10">
        <v>2.6</v>
      </c>
      <c r="K162" s="10">
        <v>2.6</v>
      </c>
      <c r="L162" s="10"/>
      <c r="M162" s="10"/>
      <c r="N162" s="10"/>
      <c r="O162" s="7">
        <v>19</v>
      </c>
      <c r="P162" s="19" t="s">
        <v>230</v>
      </c>
    </row>
    <row r="163" spans="1:16" ht="11.1" hidden="1" customHeight="1">
      <c r="A163" s="7">
        <v>338</v>
      </c>
      <c r="B163" s="8" t="s">
        <v>13</v>
      </c>
      <c r="C163" s="8" t="s">
        <v>231</v>
      </c>
      <c r="D163" s="8" t="str">
        <f t="shared" si="2"/>
        <v>Тип Электростанции</v>
      </c>
      <c r="E163" s="8" t="s">
        <v>219</v>
      </c>
      <c r="F163" s="8"/>
      <c r="G163" s="12">
        <v>160</v>
      </c>
      <c r="H163" s="9">
        <v>4.5</v>
      </c>
      <c r="I163" s="9">
        <v>4.5</v>
      </c>
      <c r="J163" s="10">
        <v>4.2</v>
      </c>
      <c r="K163" s="10">
        <v>4.2</v>
      </c>
      <c r="L163" s="10"/>
      <c r="M163" s="10"/>
      <c r="N163" s="10"/>
      <c r="O163" s="7">
        <v>8</v>
      </c>
    </row>
    <row r="164" spans="1:16" ht="11.1" hidden="1" customHeight="1">
      <c r="A164" s="7">
        <v>339</v>
      </c>
      <c r="B164" s="8" t="s">
        <v>13</v>
      </c>
      <c r="C164" s="8" t="s">
        <v>232</v>
      </c>
      <c r="D164" s="8" t="str">
        <f t="shared" si="2"/>
        <v>Тип Электростанции</v>
      </c>
      <c r="E164" s="8" t="s">
        <v>219</v>
      </c>
      <c r="F164" s="8"/>
      <c r="G164" s="12">
        <v>170</v>
      </c>
      <c r="H164" s="9">
        <v>4.5999999999999996</v>
      </c>
      <c r="I164" s="9">
        <v>4.5999999999999996</v>
      </c>
      <c r="J164" s="10">
        <v>7</v>
      </c>
      <c r="K164" s="10">
        <v>4.5999999999999996</v>
      </c>
      <c r="L164" s="10"/>
      <c r="M164" s="10"/>
      <c r="N164" s="10"/>
      <c r="O164" s="7">
        <v>5</v>
      </c>
    </row>
    <row r="165" spans="1:16" ht="11.1" hidden="1" customHeight="1">
      <c r="A165" s="7">
        <v>340</v>
      </c>
      <c r="B165" s="8" t="s">
        <v>13</v>
      </c>
      <c r="C165" s="8" t="s">
        <v>233</v>
      </c>
      <c r="D165" s="8" t="str">
        <f t="shared" si="2"/>
        <v>Тип Электростанции</v>
      </c>
      <c r="E165" s="8" t="s">
        <v>219</v>
      </c>
      <c r="F165" s="8" t="s">
        <v>224</v>
      </c>
      <c r="G165" s="8"/>
      <c r="H165" s="9">
        <v>14.1</v>
      </c>
      <c r="I165" s="9">
        <v>14.1</v>
      </c>
      <c r="J165" s="10">
        <v>10.7</v>
      </c>
      <c r="K165" s="10">
        <v>10.7</v>
      </c>
      <c r="L165" s="10"/>
      <c r="M165" s="10"/>
      <c r="N165" s="10"/>
      <c r="O165" s="7">
        <v>1</v>
      </c>
    </row>
    <row r="166" spans="1:16" ht="11.1" hidden="1" customHeight="1">
      <c r="A166" s="7">
        <v>342</v>
      </c>
      <c r="B166" s="8" t="s">
        <v>13</v>
      </c>
      <c r="C166" s="8" t="s">
        <v>234</v>
      </c>
      <c r="D166" s="8" t="str">
        <f t="shared" si="2"/>
        <v>Тип Электростанции</v>
      </c>
      <c r="E166" s="8" t="s">
        <v>219</v>
      </c>
      <c r="F166" s="8" t="s">
        <v>224</v>
      </c>
      <c r="G166" s="8"/>
      <c r="H166" s="9">
        <v>19.3</v>
      </c>
      <c r="I166" s="9">
        <v>19.3</v>
      </c>
      <c r="J166" s="14">
        <v>17.5</v>
      </c>
      <c r="K166" s="14">
        <v>17.5</v>
      </c>
      <c r="L166" s="14"/>
      <c r="M166" s="14"/>
      <c r="N166" s="14"/>
      <c r="O166" s="7">
        <v>2</v>
      </c>
    </row>
    <row r="167" spans="1:16" ht="11.1" hidden="1" customHeight="1">
      <c r="A167" s="7">
        <v>343</v>
      </c>
      <c r="B167" s="8" t="s">
        <v>13</v>
      </c>
      <c r="C167" s="8" t="s">
        <v>235</v>
      </c>
      <c r="D167" s="8" t="str">
        <f t="shared" si="2"/>
        <v>Тип Электростанции</v>
      </c>
      <c r="E167" s="8" t="s">
        <v>219</v>
      </c>
      <c r="F167" s="8" t="s">
        <v>224</v>
      </c>
      <c r="G167" s="12">
        <v>280</v>
      </c>
      <c r="H167" s="9">
        <v>16.3</v>
      </c>
      <c r="I167" s="9">
        <v>16.3</v>
      </c>
      <c r="J167" s="14">
        <v>16.3</v>
      </c>
      <c r="K167" s="14">
        <v>16.3</v>
      </c>
      <c r="L167" s="14"/>
      <c r="M167" s="14"/>
      <c r="N167" s="14"/>
      <c r="O167" s="7">
        <v>2</v>
      </c>
    </row>
    <row r="168" spans="1:16" ht="11.1" hidden="1" customHeight="1">
      <c r="A168" s="7">
        <v>344</v>
      </c>
      <c r="B168" s="8" t="s">
        <v>13</v>
      </c>
      <c r="C168" s="8" t="s">
        <v>236</v>
      </c>
      <c r="D168" s="8" t="str">
        <f t="shared" si="2"/>
        <v>Тип Электростанции</v>
      </c>
      <c r="E168" s="8" t="s">
        <v>219</v>
      </c>
      <c r="F168" s="8"/>
      <c r="G168" s="8"/>
      <c r="H168" s="9">
        <v>6.8</v>
      </c>
      <c r="I168" s="9">
        <v>6.8</v>
      </c>
      <c r="J168" s="14">
        <v>6.8</v>
      </c>
      <c r="K168" s="14">
        <v>6.8</v>
      </c>
      <c r="L168" s="14"/>
      <c r="M168" s="14"/>
      <c r="N168" s="14"/>
      <c r="O168" s="7">
        <v>2</v>
      </c>
    </row>
    <row r="169" spans="1:16" ht="11.1" hidden="1" customHeight="1">
      <c r="A169" s="7">
        <v>346</v>
      </c>
      <c r="B169" s="8" t="s">
        <v>13</v>
      </c>
      <c r="C169" s="8" t="s">
        <v>237</v>
      </c>
      <c r="D169" s="8" t="str">
        <f t="shared" si="2"/>
        <v>Тип Электростанции</v>
      </c>
      <c r="E169" s="8" t="s">
        <v>219</v>
      </c>
      <c r="F169" s="8"/>
      <c r="G169" s="12">
        <v>200</v>
      </c>
      <c r="H169" s="9">
        <v>15.6</v>
      </c>
      <c r="I169" s="9">
        <v>15.6</v>
      </c>
      <c r="J169" s="10">
        <v>8.4</v>
      </c>
      <c r="K169" s="10">
        <v>8.4</v>
      </c>
      <c r="L169" s="10"/>
      <c r="M169" s="10"/>
      <c r="N169" s="10"/>
      <c r="O169" s="7">
        <v>7</v>
      </c>
    </row>
    <row r="170" spans="1:16" ht="11.1" hidden="1" customHeight="1">
      <c r="A170" s="7">
        <v>362</v>
      </c>
      <c r="B170" s="8" t="s">
        <v>13</v>
      </c>
      <c r="C170" s="8" t="s">
        <v>238</v>
      </c>
      <c r="D170" s="8" t="str">
        <f t="shared" si="2"/>
        <v>Тип Катки дорожные</v>
      </c>
      <c r="E170" s="8" t="s">
        <v>239</v>
      </c>
      <c r="F170" s="8"/>
      <c r="G170" s="11">
        <v>1200</v>
      </c>
      <c r="H170" s="9">
        <v>11</v>
      </c>
      <c r="I170" s="9">
        <v>11</v>
      </c>
      <c r="J170" s="14">
        <v>6</v>
      </c>
      <c r="K170" s="14">
        <v>11</v>
      </c>
      <c r="L170" s="14"/>
      <c r="M170" s="14"/>
      <c r="N170" s="14"/>
      <c r="O170" s="7">
        <v>1</v>
      </c>
    </row>
    <row r="171" spans="1:16" ht="11.1" hidden="1" customHeight="1">
      <c r="A171" s="7">
        <v>363</v>
      </c>
      <c r="B171" s="8" t="s">
        <v>13</v>
      </c>
      <c r="C171" s="8" t="s">
        <v>240</v>
      </c>
      <c r="D171" s="8" t="str">
        <f t="shared" si="2"/>
        <v>Тип Катки дорожные</v>
      </c>
      <c r="E171" s="8" t="s">
        <v>239</v>
      </c>
      <c r="F171" s="8" t="s">
        <v>241</v>
      </c>
      <c r="G171" s="8"/>
      <c r="H171" s="8"/>
      <c r="I171" s="8"/>
      <c r="J171" s="14">
        <v>6</v>
      </c>
      <c r="K171" s="14">
        <v>11</v>
      </c>
      <c r="L171" s="14"/>
      <c r="M171" s="14"/>
      <c r="N171" s="14"/>
      <c r="O171" s="7">
        <v>1</v>
      </c>
    </row>
    <row r="172" spans="1:16" ht="11.1" hidden="1" customHeight="1">
      <c r="A172" s="7">
        <v>364</v>
      </c>
      <c r="B172" s="8" t="s">
        <v>13</v>
      </c>
      <c r="C172" s="8" t="s">
        <v>242</v>
      </c>
      <c r="D172" s="8" t="str">
        <f t="shared" si="2"/>
        <v>Тип Катки дорожные</v>
      </c>
      <c r="E172" s="8" t="s">
        <v>239</v>
      </c>
      <c r="F172" s="8" t="s">
        <v>241</v>
      </c>
      <c r="G172" s="8"/>
      <c r="H172" s="8"/>
      <c r="I172" s="8"/>
      <c r="J172" s="14">
        <v>7</v>
      </c>
      <c r="K172" s="14">
        <v>11</v>
      </c>
      <c r="L172" s="14"/>
      <c r="M172" s="14"/>
      <c r="N172" s="14"/>
      <c r="O172" s="7">
        <v>1</v>
      </c>
    </row>
    <row r="173" spans="1:16" ht="11.1" hidden="1" customHeight="1">
      <c r="A173" s="7">
        <v>365</v>
      </c>
      <c r="B173" s="8" t="s">
        <v>13</v>
      </c>
      <c r="C173" s="8" t="s">
        <v>243</v>
      </c>
      <c r="D173" s="8" t="str">
        <f t="shared" si="2"/>
        <v>Тип Катки дорожные</v>
      </c>
      <c r="E173" s="8" t="s">
        <v>239</v>
      </c>
      <c r="F173" s="8" t="s">
        <v>241</v>
      </c>
      <c r="G173" s="11">
        <v>1200</v>
      </c>
      <c r="H173" s="9">
        <v>12</v>
      </c>
      <c r="I173" s="9">
        <v>12</v>
      </c>
      <c r="J173" s="14">
        <v>7</v>
      </c>
      <c r="K173" s="14">
        <v>12</v>
      </c>
      <c r="L173" s="14"/>
      <c r="M173" s="14"/>
      <c r="N173" s="14"/>
      <c r="O173" s="7">
        <v>1</v>
      </c>
    </row>
    <row r="174" spans="1:16" ht="11.1" hidden="1" customHeight="1">
      <c r="A174" s="7">
        <v>366</v>
      </c>
      <c r="B174" s="8" t="s">
        <v>13</v>
      </c>
      <c r="C174" s="8" t="s">
        <v>244</v>
      </c>
      <c r="D174" s="8" t="str">
        <f t="shared" si="2"/>
        <v>Тип Катки дорожные</v>
      </c>
      <c r="E174" s="8" t="s">
        <v>239</v>
      </c>
      <c r="F174" s="8" t="s">
        <v>241</v>
      </c>
      <c r="G174" s="8"/>
      <c r="H174" s="9">
        <v>5.6</v>
      </c>
      <c r="I174" s="9">
        <v>5.6</v>
      </c>
      <c r="J174" s="14">
        <v>2.5</v>
      </c>
      <c r="K174" s="14">
        <v>5.6</v>
      </c>
      <c r="L174" s="14"/>
      <c r="M174" s="14"/>
      <c r="N174" s="14"/>
      <c r="O174" s="7">
        <v>1</v>
      </c>
    </row>
    <row r="175" spans="1:16" ht="11.1" hidden="1" customHeight="1">
      <c r="A175" s="7">
        <v>367</v>
      </c>
      <c r="B175" s="8" t="s">
        <v>13</v>
      </c>
      <c r="C175" s="8" t="s">
        <v>245</v>
      </c>
      <c r="D175" s="8" t="str">
        <f t="shared" si="2"/>
        <v>Тип Катки дорожные</v>
      </c>
      <c r="E175" s="8" t="s">
        <v>239</v>
      </c>
      <c r="F175" s="8" t="s">
        <v>241</v>
      </c>
      <c r="G175" s="8"/>
      <c r="H175" s="9">
        <v>9.5</v>
      </c>
      <c r="I175" s="9">
        <v>9.5</v>
      </c>
      <c r="J175" s="14">
        <v>5</v>
      </c>
      <c r="K175" s="14">
        <v>9.5</v>
      </c>
      <c r="L175" s="14"/>
      <c r="M175" s="14"/>
      <c r="N175" s="14"/>
      <c r="O175" s="7">
        <v>1</v>
      </c>
    </row>
    <row r="176" spans="1:16" ht="11.1" hidden="1" customHeight="1">
      <c r="A176" s="7">
        <v>368</v>
      </c>
      <c r="B176" s="8" t="s">
        <v>13</v>
      </c>
      <c r="C176" s="8" t="s">
        <v>246</v>
      </c>
      <c r="D176" s="8" t="str">
        <f t="shared" si="2"/>
        <v>Тип Катки дорожные</v>
      </c>
      <c r="E176" s="8" t="s">
        <v>239</v>
      </c>
      <c r="F176" s="8" t="s">
        <v>241</v>
      </c>
      <c r="G176" s="8"/>
      <c r="H176" s="9">
        <v>9.5</v>
      </c>
      <c r="I176" s="9">
        <v>9.5</v>
      </c>
      <c r="J176" s="14">
        <v>6</v>
      </c>
      <c r="K176" s="14">
        <v>9.5</v>
      </c>
      <c r="L176" s="14"/>
      <c r="M176" s="14"/>
      <c r="N176" s="14"/>
      <c r="O176" s="7">
        <v>1</v>
      </c>
    </row>
    <row r="177" spans="1:16" ht="11.1" hidden="1" customHeight="1">
      <c r="A177" s="7">
        <v>369</v>
      </c>
      <c r="B177" s="8" t="s">
        <v>13</v>
      </c>
      <c r="C177" s="8" t="s">
        <v>247</v>
      </c>
      <c r="D177" s="8" t="str">
        <f t="shared" si="2"/>
        <v>Тип Катки дорожные</v>
      </c>
      <c r="E177" s="8" t="s">
        <v>239</v>
      </c>
      <c r="F177" s="8" t="s">
        <v>241</v>
      </c>
      <c r="G177" s="8"/>
      <c r="H177" s="9">
        <v>12.5</v>
      </c>
      <c r="I177" s="9">
        <v>12.5</v>
      </c>
      <c r="J177" s="14">
        <v>7</v>
      </c>
      <c r="K177" s="14">
        <v>12.5</v>
      </c>
      <c r="L177" s="14"/>
      <c r="M177" s="14"/>
      <c r="N177" s="14"/>
      <c r="O177" s="7">
        <v>1</v>
      </c>
    </row>
    <row r="178" spans="1:16" ht="11.1" hidden="1" customHeight="1">
      <c r="A178" s="7">
        <v>370</v>
      </c>
      <c r="B178" s="8" t="s">
        <v>13</v>
      </c>
      <c r="C178" s="8" t="s">
        <v>248</v>
      </c>
      <c r="D178" s="8" t="str">
        <f t="shared" si="2"/>
        <v>Тип Катки дорожные</v>
      </c>
      <c r="E178" s="8" t="s">
        <v>239</v>
      </c>
      <c r="F178" s="8" t="s">
        <v>241</v>
      </c>
      <c r="G178" s="8"/>
      <c r="H178" s="9">
        <v>9.5</v>
      </c>
      <c r="I178" s="9">
        <v>9.5</v>
      </c>
      <c r="J178" s="14">
        <v>9.5</v>
      </c>
      <c r="K178" s="14">
        <v>9.5</v>
      </c>
      <c r="L178" s="14"/>
      <c r="M178" s="14"/>
      <c r="N178" s="14"/>
      <c r="O178" s="7">
        <v>1</v>
      </c>
    </row>
    <row r="179" spans="1:16" ht="11.1" hidden="1" customHeight="1">
      <c r="A179" s="7">
        <v>371</v>
      </c>
      <c r="B179" s="8" t="s">
        <v>13</v>
      </c>
      <c r="C179" s="8" t="s">
        <v>249</v>
      </c>
      <c r="D179" s="8" t="str">
        <f t="shared" si="2"/>
        <v>Тип Катки дорожные</v>
      </c>
      <c r="E179" s="8" t="s">
        <v>239</v>
      </c>
      <c r="F179" s="8" t="s">
        <v>241</v>
      </c>
      <c r="G179" s="8"/>
      <c r="H179" s="9">
        <v>13</v>
      </c>
      <c r="I179" s="9">
        <v>13</v>
      </c>
      <c r="J179" s="14">
        <v>9.6</v>
      </c>
      <c r="K179" s="14">
        <v>13</v>
      </c>
      <c r="L179" s="14"/>
      <c r="M179" s="14"/>
      <c r="N179" s="14"/>
      <c r="O179" s="7">
        <v>1</v>
      </c>
    </row>
    <row r="180" spans="1:16" ht="11.1" hidden="1" customHeight="1">
      <c r="A180" s="7">
        <v>373</v>
      </c>
      <c r="B180" s="8" t="s">
        <v>13</v>
      </c>
      <c r="C180" s="8" t="s">
        <v>250</v>
      </c>
      <c r="D180" s="8" t="str">
        <f t="shared" si="2"/>
        <v>Тип Катки асфальтные</v>
      </c>
      <c r="E180" s="8" t="s">
        <v>251</v>
      </c>
      <c r="F180" s="8" t="s">
        <v>241</v>
      </c>
      <c r="G180" s="8"/>
      <c r="H180" s="9">
        <v>12.5</v>
      </c>
      <c r="I180" s="9">
        <v>12.5</v>
      </c>
      <c r="J180" s="14">
        <v>7</v>
      </c>
      <c r="K180" s="14">
        <v>12.5</v>
      </c>
      <c r="L180" s="14"/>
      <c r="M180" s="14"/>
      <c r="N180" s="14"/>
      <c r="O180" s="7">
        <v>1</v>
      </c>
    </row>
    <row r="181" spans="1:16" ht="11.1" hidden="1" customHeight="1">
      <c r="A181" s="7">
        <v>374</v>
      </c>
      <c r="B181" s="8" t="s">
        <v>13</v>
      </c>
      <c r="C181" s="8" t="s">
        <v>252</v>
      </c>
      <c r="D181" s="8" t="str">
        <f t="shared" si="2"/>
        <v>Тип Катки асфальтные</v>
      </c>
      <c r="E181" s="8" t="s">
        <v>251</v>
      </c>
      <c r="F181" s="8" t="s">
        <v>241</v>
      </c>
      <c r="G181" s="8"/>
      <c r="H181" s="9">
        <v>11</v>
      </c>
      <c r="I181" s="9">
        <v>11</v>
      </c>
      <c r="J181" s="14">
        <v>6</v>
      </c>
      <c r="K181" s="14">
        <v>11</v>
      </c>
      <c r="L181" s="14"/>
      <c r="M181" s="14"/>
      <c r="N181" s="14"/>
      <c r="O181" s="7">
        <v>1</v>
      </c>
    </row>
    <row r="182" spans="1:16" ht="11.1" hidden="1" customHeight="1">
      <c r="A182" s="7">
        <v>375</v>
      </c>
      <c r="B182" s="8" t="s">
        <v>13</v>
      </c>
      <c r="C182" s="8" t="s">
        <v>253</v>
      </c>
      <c r="D182" s="8" t="str">
        <f t="shared" si="2"/>
        <v>Тип Катки асфальтные</v>
      </c>
      <c r="E182" s="8" t="s">
        <v>251</v>
      </c>
      <c r="F182" s="8" t="s">
        <v>241</v>
      </c>
      <c r="G182" s="8"/>
      <c r="H182" s="9">
        <v>6</v>
      </c>
      <c r="I182" s="9">
        <v>6</v>
      </c>
      <c r="J182" s="14">
        <v>1.5</v>
      </c>
      <c r="K182" s="14">
        <v>6</v>
      </c>
      <c r="L182" s="14"/>
      <c r="M182" s="14"/>
      <c r="N182" s="14"/>
      <c r="O182" s="7">
        <v>1</v>
      </c>
    </row>
    <row r="183" spans="1:16" ht="11.1" hidden="1" customHeight="1">
      <c r="A183" s="7">
        <v>376</v>
      </c>
      <c r="B183" s="8" t="s">
        <v>13</v>
      </c>
      <c r="C183" s="8" t="s">
        <v>254</v>
      </c>
      <c r="D183" s="8" t="str">
        <f t="shared" si="2"/>
        <v>Тип Катки асфальтные</v>
      </c>
      <c r="E183" s="8" t="s">
        <v>251</v>
      </c>
      <c r="F183" s="8" t="s">
        <v>241</v>
      </c>
      <c r="G183" s="8"/>
      <c r="H183" s="9">
        <v>9.5</v>
      </c>
      <c r="I183" s="9">
        <v>9.5</v>
      </c>
      <c r="J183" s="14">
        <v>4</v>
      </c>
      <c r="K183" s="14">
        <v>9.5</v>
      </c>
      <c r="L183" s="14"/>
      <c r="M183" s="14"/>
      <c r="N183" s="14"/>
      <c r="O183" s="7">
        <v>1</v>
      </c>
    </row>
    <row r="184" spans="1:16" ht="11.1" hidden="1" customHeight="1">
      <c r="A184" s="7">
        <v>377</v>
      </c>
      <c r="B184" s="8" t="s">
        <v>13</v>
      </c>
      <c r="C184" s="8" t="s">
        <v>255</v>
      </c>
      <c r="D184" s="8" t="str">
        <f t="shared" si="2"/>
        <v>Тип Катки дорожные</v>
      </c>
      <c r="E184" s="8" t="s">
        <v>239</v>
      </c>
      <c r="F184" s="8"/>
      <c r="G184" s="11">
        <v>1200</v>
      </c>
      <c r="H184" s="9">
        <v>12</v>
      </c>
      <c r="I184" s="9">
        <v>12</v>
      </c>
      <c r="J184" s="14">
        <v>6</v>
      </c>
      <c r="K184" s="14">
        <v>12</v>
      </c>
      <c r="L184" s="14"/>
      <c r="M184" s="14"/>
      <c r="N184" s="14"/>
      <c r="O184" s="7">
        <v>1</v>
      </c>
    </row>
    <row r="185" spans="1:16" ht="11.1" hidden="1" customHeight="1">
      <c r="A185" s="7">
        <v>378</v>
      </c>
      <c r="B185" s="8" t="s">
        <v>13</v>
      </c>
      <c r="C185" s="8" t="s">
        <v>256</v>
      </c>
      <c r="D185" s="8" t="str">
        <f t="shared" si="2"/>
        <v>Тип Катки дорожные</v>
      </c>
      <c r="E185" s="8" t="s">
        <v>239</v>
      </c>
      <c r="F185" s="8"/>
      <c r="G185" s="8"/>
      <c r="H185" s="9">
        <v>14</v>
      </c>
      <c r="I185" s="9">
        <v>14</v>
      </c>
      <c r="J185" s="14">
        <v>9</v>
      </c>
      <c r="K185" s="14">
        <v>14</v>
      </c>
      <c r="L185" s="14"/>
      <c r="M185" s="14"/>
      <c r="N185" s="14"/>
      <c r="O185" s="7">
        <v>1</v>
      </c>
    </row>
    <row r="186" spans="1:16" ht="11.1" hidden="1" customHeight="1">
      <c r="A186" s="7">
        <v>379</v>
      </c>
      <c r="B186" s="8" t="s">
        <v>13</v>
      </c>
      <c r="C186" s="8" t="s">
        <v>257</v>
      </c>
      <c r="D186" s="8" t="str">
        <f t="shared" si="2"/>
        <v>Тип Катки дорожные</v>
      </c>
      <c r="E186" s="8" t="s">
        <v>239</v>
      </c>
      <c r="F186" s="8" t="s">
        <v>241</v>
      </c>
      <c r="G186" s="8"/>
      <c r="H186" s="9">
        <v>12.5</v>
      </c>
      <c r="I186" s="9">
        <v>12.5</v>
      </c>
      <c r="J186" s="14">
        <v>6</v>
      </c>
      <c r="K186" s="14">
        <v>12.5</v>
      </c>
      <c r="L186" s="14"/>
      <c r="M186" s="14"/>
      <c r="N186" s="14"/>
      <c r="O186" s="7">
        <v>1</v>
      </c>
    </row>
    <row r="187" spans="1:16" ht="11.1" hidden="1" customHeight="1">
      <c r="A187" s="7">
        <v>381</v>
      </c>
      <c r="B187" s="8" t="s">
        <v>13</v>
      </c>
      <c r="C187" s="8" t="s">
        <v>258</v>
      </c>
      <c r="D187" s="8" t="str">
        <f t="shared" si="2"/>
        <v>Тип Компрессоры</v>
      </c>
      <c r="E187" s="8" t="s">
        <v>259</v>
      </c>
      <c r="F187" s="8"/>
      <c r="G187" s="8"/>
      <c r="H187" s="9">
        <v>5.5</v>
      </c>
      <c r="I187" s="9">
        <v>5.5</v>
      </c>
      <c r="J187" s="14">
        <v>5.5</v>
      </c>
      <c r="K187" s="14">
        <v>5.5</v>
      </c>
      <c r="L187" s="14"/>
      <c r="M187" s="14"/>
      <c r="N187" s="14"/>
      <c r="O187" s="7">
        <v>1</v>
      </c>
    </row>
    <row r="188" spans="1:16" ht="11.1" hidden="1" customHeight="1">
      <c r="A188" s="7">
        <v>382</v>
      </c>
      <c r="B188" s="8" t="s">
        <v>13</v>
      </c>
      <c r="C188" s="8" t="s">
        <v>260</v>
      </c>
      <c r="D188" s="8" t="str">
        <f t="shared" si="2"/>
        <v>Тип Компрессоры</v>
      </c>
      <c r="E188" s="8" t="s">
        <v>259</v>
      </c>
      <c r="F188" s="8"/>
      <c r="G188" s="8"/>
      <c r="H188" s="9">
        <v>7.2</v>
      </c>
      <c r="I188" s="9">
        <v>7.2</v>
      </c>
      <c r="J188" s="14">
        <v>4.3</v>
      </c>
      <c r="K188" s="14">
        <v>4.3</v>
      </c>
      <c r="L188" s="14"/>
      <c r="M188" s="14"/>
      <c r="N188" s="14"/>
      <c r="O188" s="7">
        <v>1</v>
      </c>
    </row>
    <row r="189" spans="1:16" ht="11.1" hidden="1" customHeight="1">
      <c r="A189" s="7">
        <v>383</v>
      </c>
      <c r="B189" s="8" t="s">
        <v>13</v>
      </c>
      <c r="C189" s="8" t="s">
        <v>261</v>
      </c>
      <c r="D189" s="8" t="str">
        <f t="shared" si="2"/>
        <v>Тип Компрессоры</v>
      </c>
      <c r="E189" s="8" t="s">
        <v>259</v>
      </c>
      <c r="F189" s="8"/>
      <c r="G189" s="8"/>
      <c r="H189" s="9">
        <v>5.6</v>
      </c>
      <c r="I189" s="9">
        <v>5.6</v>
      </c>
      <c r="J189" s="14">
        <v>5.6</v>
      </c>
      <c r="K189" s="14">
        <v>5.6</v>
      </c>
      <c r="L189" s="14"/>
      <c r="M189" s="14"/>
      <c r="N189" s="14"/>
      <c r="O189" s="7">
        <v>2</v>
      </c>
      <c r="P189" s="20" t="s">
        <v>262</v>
      </c>
    </row>
    <row r="190" spans="1:16" ht="11.1" hidden="1" customHeight="1">
      <c r="A190" s="7">
        <v>386</v>
      </c>
      <c r="B190" s="8" t="s">
        <v>13</v>
      </c>
      <c r="C190" s="8" t="s">
        <v>263</v>
      </c>
      <c r="D190" s="8" t="str">
        <f t="shared" si="2"/>
        <v>Тип Компрессоры</v>
      </c>
      <c r="E190" s="8" t="s">
        <v>259</v>
      </c>
      <c r="F190" s="8"/>
      <c r="G190" s="12">
        <v>900</v>
      </c>
      <c r="H190" s="9">
        <v>9.4</v>
      </c>
      <c r="I190" s="9">
        <v>9.4</v>
      </c>
      <c r="J190" s="14">
        <v>9.4</v>
      </c>
      <c r="K190" s="14">
        <v>9.4</v>
      </c>
      <c r="L190" s="14"/>
      <c r="M190" s="14"/>
      <c r="N190" s="14"/>
      <c r="O190" s="7">
        <v>18</v>
      </c>
      <c r="P190" s="21" t="s">
        <v>264</v>
      </c>
    </row>
    <row r="191" spans="1:16" ht="11.1" hidden="1" customHeight="1">
      <c r="A191" s="7"/>
      <c r="B191" s="8"/>
      <c r="C191" s="16" t="s">
        <v>265</v>
      </c>
      <c r="D191" s="8" t="str">
        <f t="shared" si="2"/>
        <v>Тип Компрессоры</v>
      </c>
      <c r="E191" s="8" t="s">
        <v>259</v>
      </c>
      <c r="F191" s="8"/>
      <c r="G191" s="12"/>
      <c r="H191" s="9"/>
      <c r="I191" s="9"/>
      <c r="J191" s="14">
        <v>9.4</v>
      </c>
      <c r="K191" s="14"/>
      <c r="L191" s="14"/>
      <c r="M191" s="14"/>
      <c r="N191" s="14"/>
      <c r="O191" s="7"/>
      <c r="P191" s="21"/>
    </row>
    <row r="192" spans="1:16" ht="11.1" hidden="1" customHeight="1">
      <c r="A192" s="7">
        <v>387</v>
      </c>
      <c r="B192" s="8" t="s">
        <v>13</v>
      </c>
      <c r="C192" s="8" t="s">
        <v>266</v>
      </c>
      <c r="D192" s="8" t="str">
        <f t="shared" si="2"/>
        <v>Тип Компрессоры</v>
      </c>
      <c r="E192" s="8" t="s">
        <v>259</v>
      </c>
      <c r="F192" s="8" t="s">
        <v>267</v>
      </c>
      <c r="G192" s="12">
        <v>900</v>
      </c>
      <c r="H192" s="9">
        <v>21</v>
      </c>
      <c r="I192" s="9">
        <v>21</v>
      </c>
      <c r="J192" s="14">
        <v>9.4</v>
      </c>
      <c r="K192" s="14">
        <v>9.4</v>
      </c>
      <c r="L192" s="14"/>
      <c r="M192" s="14"/>
      <c r="N192" s="14"/>
      <c r="O192" s="7">
        <v>16</v>
      </c>
      <c r="P192" s="21" t="s">
        <v>268</v>
      </c>
    </row>
    <row r="193" spans="1:18" ht="11.1" hidden="1" customHeight="1">
      <c r="A193" s="7"/>
      <c r="B193" s="8"/>
      <c r="C193" s="8" t="s">
        <v>269</v>
      </c>
      <c r="D193" s="8" t="str">
        <f t="shared" si="2"/>
        <v>Тип Компрессоры</v>
      </c>
      <c r="E193" s="8" t="s">
        <v>259</v>
      </c>
      <c r="F193" s="8"/>
      <c r="G193" s="12"/>
      <c r="H193" s="9"/>
      <c r="I193" s="9"/>
      <c r="J193" s="14">
        <v>10</v>
      </c>
      <c r="K193" s="14">
        <v>10</v>
      </c>
      <c r="L193" s="14"/>
      <c r="M193" s="14"/>
      <c r="N193" s="14"/>
      <c r="O193" s="7"/>
      <c r="P193" s="20" t="s">
        <v>268</v>
      </c>
    </row>
    <row r="194" spans="1:18" ht="11.1" hidden="1" customHeight="1">
      <c r="A194" s="7">
        <v>390</v>
      </c>
      <c r="B194" s="8" t="s">
        <v>13</v>
      </c>
      <c r="C194" s="8" t="s">
        <v>270</v>
      </c>
      <c r="D194" s="8" t="str">
        <f t="shared" si="2"/>
        <v>Тип Компрессоры</v>
      </c>
      <c r="E194" s="8" t="s">
        <v>259</v>
      </c>
      <c r="F194" s="8"/>
      <c r="G194" s="8"/>
      <c r="H194" s="9">
        <v>11.1</v>
      </c>
      <c r="I194" s="9">
        <v>11.1</v>
      </c>
      <c r="J194" s="14">
        <v>11.1</v>
      </c>
      <c r="K194" s="14">
        <v>11.1</v>
      </c>
      <c r="L194" s="14"/>
      <c r="M194" s="14"/>
      <c r="N194" s="14"/>
      <c r="O194" s="7">
        <v>2</v>
      </c>
    </row>
    <row r="195" spans="1:18" ht="11.1" customHeight="1">
      <c r="A195" s="7">
        <v>416</v>
      </c>
      <c r="B195" s="8" t="s">
        <v>13</v>
      </c>
      <c r="C195" s="8" t="s">
        <v>271</v>
      </c>
      <c r="D195" s="8" t="str">
        <f t="shared" si="2"/>
        <v>Тип Краны гусеничные</v>
      </c>
      <c r="E195" s="8" t="s">
        <v>272</v>
      </c>
      <c r="F195" s="8" t="s">
        <v>273</v>
      </c>
      <c r="G195" s="11">
        <v>1800</v>
      </c>
      <c r="H195" s="9">
        <v>17</v>
      </c>
      <c r="I195" s="9">
        <v>17</v>
      </c>
      <c r="J195" s="14">
        <v>8.3000000000000007</v>
      </c>
      <c r="K195" s="14">
        <v>10.3</v>
      </c>
      <c r="L195" s="14"/>
      <c r="M195" s="14"/>
      <c r="N195" s="14"/>
      <c r="O195" s="7">
        <v>4</v>
      </c>
      <c r="P195" s="21" t="s">
        <v>274</v>
      </c>
    </row>
    <row r="196" spans="1:18" ht="11.1" customHeight="1">
      <c r="A196" s="7">
        <v>417</v>
      </c>
      <c r="B196" s="8" t="s">
        <v>13</v>
      </c>
      <c r="C196" s="8" t="s">
        <v>275</v>
      </c>
      <c r="D196" s="8" t="str">
        <f t="shared" si="2"/>
        <v>Тип Краны гусеничные</v>
      </c>
      <c r="E196" s="8" t="s">
        <v>272</v>
      </c>
      <c r="F196" s="8" t="s">
        <v>276</v>
      </c>
      <c r="G196" s="8"/>
      <c r="H196" s="9">
        <v>24</v>
      </c>
      <c r="I196" s="9">
        <v>24</v>
      </c>
      <c r="J196" s="14">
        <v>10.1</v>
      </c>
      <c r="K196" s="14">
        <v>11.5</v>
      </c>
      <c r="L196" s="14"/>
      <c r="M196" s="14"/>
      <c r="N196" s="14"/>
      <c r="O196" s="7">
        <v>6</v>
      </c>
    </row>
    <row r="197" spans="1:18" ht="11.1" customHeight="1">
      <c r="A197" s="7">
        <v>418</v>
      </c>
      <c r="B197" s="8" t="s">
        <v>13</v>
      </c>
      <c r="C197" s="8" t="s">
        <v>277</v>
      </c>
      <c r="D197" s="8" t="str">
        <f t="shared" si="2"/>
        <v>Тип Краны гусеничные</v>
      </c>
      <c r="E197" s="8" t="s">
        <v>272</v>
      </c>
      <c r="F197" s="8" t="s">
        <v>278</v>
      </c>
      <c r="G197" s="11">
        <v>2560</v>
      </c>
      <c r="H197" s="9">
        <v>19.2</v>
      </c>
      <c r="I197" s="9">
        <v>19.2</v>
      </c>
      <c r="J197" s="14">
        <v>10.1</v>
      </c>
      <c r="K197" s="14">
        <v>13.2</v>
      </c>
      <c r="L197" s="14"/>
      <c r="M197" s="14"/>
      <c r="N197" s="14"/>
      <c r="O197" s="8"/>
    </row>
    <row r="198" spans="1:18" ht="11.1" customHeight="1">
      <c r="A198" s="7">
        <v>419</v>
      </c>
      <c r="B198" s="8" t="s">
        <v>13</v>
      </c>
      <c r="C198" s="8" t="s">
        <v>279</v>
      </c>
      <c r="D198" s="8" t="str">
        <f t="shared" si="2"/>
        <v>Тип Краны гусеничные</v>
      </c>
      <c r="E198" s="8" t="s">
        <v>272</v>
      </c>
      <c r="F198" s="8" t="s">
        <v>278</v>
      </c>
      <c r="G198" s="11">
        <v>2560</v>
      </c>
      <c r="H198" s="9">
        <v>30</v>
      </c>
      <c r="I198" s="9">
        <v>30</v>
      </c>
      <c r="J198" s="14">
        <v>10.1</v>
      </c>
      <c r="K198" s="14">
        <v>13.2</v>
      </c>
      <c r="L198" s="14"/>
      <c r="M198" s="14"/>
      <c r="N198" s="14"/>
      <c r="O198" s="7">
        <v>3</v>
      </c>
    </row>
    <row r="199" spans="1:18" ht="11.1" customHeight="1">
      <c r="A199" s="7">
        <v>420</v>
      </c>
      <c r="B199" s="8" t="s">
        <v>13</v>
      </c>
      <c r="C199" s="8" t="s">
        <v>280</v>
      </c>
      <c r="D199" s="8" t="str">
        <f t="shared" ref="D199:D239" si="3">CONCATENATE("Тип"," ",E199)</f>
        <v>Тип Краны гусеничные</v>
      </c>
      <c r="E199" s="8" t="s">
        <v>272</v>
      </c>
      <c r="F199" s="8" t="s">
        <v>281</v>
      </c>
      <c r="G199" s="8"/>
      <c r="H199" s="8"/>
      <c r="I199" s="8"/>
      <c r="J199" s="10">
        <v>10</v>
      </c>
      <c r="K199" s="10">
        <v>10</v>
      </c>
      <c r="L199" s="10"/>
      <c r="M199" s="10"/>
      <c r="N199" s="10"/>
      <c r="O199" s="7">
        <v>1</v>
      </c>
    </row>
    <row r="200" spans="1:18" ht="11.1" customHeight="1">
      <c r="A200" s="7">
        <v>421</v>
      </c>
      <c r="B200" s="8" t="s">
        <v>13</v>
      </c>
      <c r="C200" s="8" t="s">
        <v>282</v>
      </c>
      <c r="D200" s="8" t="str">
        <f t="shared" si="3"/>
        <v>Тип Краны гусеничные</v>
      </c>
      <c r="E200" s="8" t="s">
        <v>272</v>
      </c>
      <c r="F200" s="8" t="s">
        <v>283</v>
      </c>
      <c r="G200" s="11">
        <v>2500</v>
      </c>
      <c r="H200" s="9">
        <v>5.4</v>
      </c>
      <c r="I200" s="9">
        <v>5.4</v>
      </c>
      <c r="J200" s="10">
        <v>5.4</v>
      </c>
      <c r="K200" s="10">
        <v>5.4</v>
      </c>
      <c r="L200" s="10"/>
      <c r="M200" s="10"/>
      <c r="N200" s="10"/>
      <c r="O200" s="7">
        <v>12</v>
      </c>
      <c r="P200" s="21">
        <v>8</v>
      </c>
    </row>
    <row r="201" spans="1:18" ht="11.1" customHeight="1">
      <c r="A201" s="7">
        <v>422</v>
      </c>
      <c r="B201" s="8" t="s">
        <v>13</v>
      </c>
      <c r="C201" s="8" t="s">
        <v>284</v>
      </c>
      <c r="D201" s="8" t="str">
        <f t="shared" si="3"/>
        <v>Тип Краны гусеничные</v>
      </c>
      <c r="E201" s="8" t="s">
        <v>272</v>
      </c>
      <c r="F201" s="8" t="s">
        <v>281</v>
      </c>
      <c r="G201" s="11">
        <v>7350</v>
      </c>
      <c r="H201" s="9">
        <v>17</v>
      </c>
      <c r="I201" s="9">
        <v>17</v>
      </c>
      <c r="J201" s="14">
        <v>13.5</v>
      </c>
      <c r="K201" s="14">
        <v>13.5</v>
      </c>
      <c r="L201" s="14"/>
      <c r="M201" s="14"/>
      <c r="N201" s="14"/>
      <c r="O201" s="7">
        <v>1</v>
      </c>
    </row>
    <row r="202" spans="1:18" ht="11.1" customHeight="1">
      <c r="A202" s="7">
        <v>423</v>
      </c>
      <c r="B202" s="8" t="s">
        <v>13</v>
      </c>
      <c r="C202" s="8" t="s">
        <v>285</v>
      </c>
      <c r="D202" s="8" t="str">
        <f t="shared" si="3"/>
        <v>Тип Краны гусеничные</v>
      </c>
      <c r="E202" s="8" t="s">
        <v>272</v>
      </c>
      <c r="F202" s="8" t="s">
        <v>278</v>
      </c>
      <c r="G202" s="11">
        <v>3000</v>
      </c>
      <c r="H202" s="9">
        <v>10.1</v>
      </c>
      <c r="I202" s="9">
        <v>10.1</v>
      </c>
      <c r="J202" s="14">
        <v>8.5</v>
      </c>
      <c r="K202" s="14">
        <v>10.1</v>
      </c>
      <c r="L202" s="14"/>
      <c r="M202" s="14"/>
      <c r="N202" s="14"/>
      <c r="O202" s="7">
        <v>7</v>
      </c>
    </row>
    <row r="203" spans="1:18" ht="11.1" customHeight="1">
      <c r="A203" s="7">
        <v>425</v>
      </c>
      <c r="B203" s="8" t="s">
        <v>13</v>
      </c>
      <c r="C203" s="8" t="s">
        <v>286</v>
      </c>
      <c r="D203" s="8" t="str">
        <f t="shared" si="3"/>
        <v>Тип Краны гусеничные</v>
      </c>
      <c r="E203" s="8" t="s">
        <v>272</v>
      </c>
      <c r="F203" s="8" t="s">
        <v>287</v>
      </c>
      <c r="G203" s="8"/>
      <c r="H203" s="9">
        <v>11</v>
      </c>
      <c r="I203" s="9">
        <v>11</v>
      </c>
      <c r="J203" s="14">
        <v>11</v>
      </c>
      <c r="K203" s="14">
        <v>11</v>
      </c>
      <c r="L203" s="14"/>
      <c r="M203" s="14"/>
      <c r="N203" s="14"/>
      <c r="O203" s="7">
        <v>2</v>
      </c>
    </row>
    <row r="204" spans="1:18" ht="11.1" customHeight="1">
      <c r="A204" s="7">
        <v>426</v>
      </c>
      <c r="B204" s="8" t="s">
        <v>13</v>
      </c>
      <c r="C204" s="8" t="s">
        <v>288</v>
      </c>
      <c r="D204" s="8" t="str">
        <f t="shared" si="3"/>
        <v>Тип Краны гусеничные</v>
      </c>
      <c r="E204" s="8" t="s">
        <v>272</v>
      </c>
      <c r="F204" s="8" t="s">
        <v>289</v>
      </c>
      <c r="G204" s="8"/>
      <c r="H204" s="9">
        <v>8.8000000000000007</v>
      </c>
      <c r="I204" s="9">
        <v>8.8000000000000007</v>
      </c>
      <c r="J204" s="14">
        <v>8.8000000000000007</v>
      </c>
      <c r="K204" s="14">
        <v>8.8000000000000007</v>
      </c>
      <c r="L204" s="14"/>
      <c r="M204" s="14"/>
      <c r="N204" s="14"/>
      <c r="O204" s="7">
        <v>1</v>
      </c>
      <c r="R204" s="8" t="s">
        <v>290</v>
      </c>
    </row>
    <row r="205" spans="1:18" ht="11.1" customHeight="1">
      <c r="A205" s="7">
        <v>427</v>
      </c>
      <c r="B205" s="8" t="s">
        <v>13</v>
      </c>
      <c r="C205" s="8" t="s">
        <v>291</v>
      </c>
      <c r="D205" s="8" t="str">
        <f t="shared" si="3"/>
        <v>Тип Краны гусеничные</v>
      </c>
      <c r="E205" s="8" t="s">
        <v>272</v>
      </c>
      <c r="F205" s="8" t="s">
        <v>292</v>
      </c>
      <c r="G205" s="8"/>
      <c r="H205" s="9">
        <v>11.1</v>
      </c>
      <c r="I205" s="9">
        <v>11.1</v>
      </c>
      <c r="J205" s="14">
        <v>11.1</v>
      </c>
      <c r="K205" s="14">
        <v>11.1</v>
      </c>
      <c r="L205" s="14"/>
      <c r="M205" s="14"/>
      <c r="N205" s="14"/>
      <c r="O205" s="7">
        <v>1</v>
      </c>
    </row>
    <row r="206" spans="1:18" ht="11.1" customHeight="1">
      <c r="A206" s="7">
        <v>429</v>
      </c>
      <c r="B206" s="8" t="s">
        <v>13</v>
      </c>
      <c r="C206" s="8" t="s">
        <v>293</v>
      </c>
      <c r="D206" s="8" t="str">
        <f t="shared" si="3"/>
        <v>Тип Краны гусеничные</v>
      </c>
      <c r="E206" s="8" t="s">
        <v>272</v>
      </c>
      <c r="F206" s="8" t="s">
        <v>294</v>
      </c>
      <c r="G206" s="8"/>
      <c r="H206" s="9">
        <v>19.2</v>
      </c>
      <c r="I206" s="9">
        <v>19.2</v>
      </c>
      <c r="J206" s="14">
        <v>19.2</v>
      </c>
      <c r="K206" s="14">
        <v>19.2</v>
      </c>
      <c r="L206" s="14"/>
      <c r="M206" s="14"/>
      <c r="N206" s="14"/>
      <c r="O206" s="8"/>
    </row>
    <row r="207" spans="1:18" ht="11.1" customHeight="1">
      <c r="A207" s="7">
        <v>430</v>
      </c>
      <c r="B207" s="8" t="s">
        <v>13</v>
      </c>
      <c r="C207" s="8" t="s">
        <v>295</v>
      </c>
      <c r="D207" s="8" t="str">
        <f t="shared" si="3"/>
        <v>Тип Краны гусеничные</v>
      </c>
      <c r="E207" s="8" t="s">
        <v>272</v>
      </c>
      <c r="F207" s="8" t="s">
        <v>287</v>
      </c>
      <c r="G207" s="8"/>
      <c r="H207" s="9">
        <v>9</v>
      </c>
      <c r="I207" s="9">
        <v>9</v>
      </c>
      <c r="J207" s="14">
        <v>9</v>
      </c>
      <c r="K207" s="14">
        <v>9</v>
      </c>
      <c r="L207" s="14"/>
      <c r="M207" s="14"/>
      <c r="N207" s="14"/>
      <c r="O207" s="7">
        <v>1</v>
      </c>
    </row>
    <row r="208" spans="1:18" ht="11.1" customHeight="1">
      <c r="A208" s="7">
        <v>431</v>
      </c>
      <c r="B208" s="8" t="s">
        <v>13</v>
      </c>
      <c r="C208" s="8" t="s">
        <v>296</v>
      </c>
      <c r="D208" s="8" t="str">
        <f t="shared" si="3"/>
        <v>Тип Краны гусеничные</v>
      </c>
      <c r="E208" s="8" t="s">
        <v>272</v>
      </c>
      <c r="F208" s="8" t="s">
        <v>287</v>
      </c>
      <c r="G208" s="8"/>
      <c r="H208" s="9">
        <v>11</v>
      </c>
      <c r="I208" s="9">
        <v>11</v>
      </c>
      <c r="J208" s="14">
        <v>11</v>
      </c>
      <c r="K208" s="14">
        <v>11</v>
      </c>
      <c r="L208" s="14"/>
      <c r="M208" s="14"/>
      <c r="N208" s="14"/>
      <c r="O208" s="8"/>
    </row>
    <row r="209" spans="1:15" ht="11.1" customHeight="1">
      <c r="A209" s="7">
        <v>432</v>
      </c>
      <c r="B209" s="8" t="s">
        <v>13</v>
      </c>
      <c r="C209" s="8" t="s">
        <v>297</v>
      </c>
      <c r="D209" s="8" t="str">
        <f t="shared" si="3"/>
        <v>Тип Краны гусеничные</v>
      </c>
      <c r="E209" s="8" t="s">
        <v>272</v>
      </c>
      <c r="F209" s="8" t="s">
        <v>287</v>
      </c>
      <c r="G209" s="8"/>
      <c r="H209" s="9">
        <v>9.3000000000000007</v>
      </c>
      <c r="I209" s="9">
        <v>9.3000000000000007</v>
      </c>
      <c r="J209" s="14">
        <v>9.3000000000000007</v>
      </c>
      <c r="K209" s="14">
        <v>9.3000000000000007</v>
      </c>
      <c r="L209" s="14"/>
      <c r="M209" s="14"/>
      <c r="N209" s="14"/>
      <c r="O209" s="8"/>
    </row>
    <row r="210" spans="1:15" ht="11.1" customHeight="1">
      <c r="A210" s="7">
        <v>433</v>
      </c>
      <c r="B210" s="8" t="s">
        <v>13</v>
      </c>
      <c r="C210" s="8" t="s">
        <v>298</v>
      </c>
      <c r="D210" s="8" t="str">
        <f t="shared" si="3"/>
        <v>Тип Краны гусеничные</v>
      </c>
      <c r="E210" s="8" t="s">
        <v>272</v>
      </c>
      <c r="F210" s="8" t="s">
        <v>287</v>
      </c>
      <c r="G210" s="8"/>
      <c r="H210" s="9">
        <v>8.5</v>
      </c>
      <c r="I210" s="9">
        <v>8.5</v>
      </c>
      <c r="J210" s="14">
        <v>8.5</v>
      </c>
      <c r="K210" s="14">
        <v>8.5</v>
      </c>
      <c r="L210" s="14"/>
      <c r="M210" s="14"/>
      <c r="N210" s="14"/>
      <c r="O210" s="7">
        <v>2</v>
      </c>
    </row>
    <row r="211" spans="1:15" ht="11.1" customHeight="1">
      <c r="A211" s="7">
        <v>434</v>
      </c>
      <c r="B211" s="8" t="s">
        <v>13</v>
      </c>
      <c r="C211" s="8" t="s">
        <v>298</v>
      </c>
      <c r="D211" s="8" t="str">
        <f t="shared" si="3"/>
        <v>Тип Краны гусеничные</v>
      </c>
      <c r="E211" s="8" t="s">
        <v>272</v>
      </c>
      <c r="F211" s="8" t="s">
        <v>287</v>
      </c>
      <c r="G211" s="8"/>
      <c r="H211" s="9">
        <v>20</v>
      </c>
      <c r="I211" s="9">
        <v>20</v>
      </c>
      <c r="J211" s="14">
        <v>20</v>
      </c>
      <c r="K211" s="14">
        <v>20</v>
      </c>
      <c r="L211" s="14"/>
      <c r="M211" s="14"/>
      <c r="N211" s="14"/>
      <c r="O211" s="7">
        <v>1</v>
      </c>
    </row>
    <row r="212" spans="1:15" ht="11.1" customHeight="1">
      <c r="A212" s="7">
        <v>435</v>
      </c>
      <c r="B212" s="8" t="s">
        <v>13</v>
      </c>
      <c r="C212" s="8" t="s">
        <v>299</v>
      </c>
      <c r="D212" s="8" t="str">
        <f t="shared" si="3"/>
        <v>Тип Краны гусеничные</v>
      </c>
      <c r="E212" s="8" t="s">
        <v>272</v>
      </c>
      <c r="F212" s="8" t="s">
        <v>287</v>
      </c>
      <c r="G212" s="8"/>
      <c r="H212" s="9">
        <v>20</v>
      </c>
      <c r="I212" s="9">
        <v>20</v>
      </c>
      <c r="J212" s="14">
        <v>20</v>
      </c>
      <c r="K212" s="14">
        <v>20</v>
      </c>
      <c r="L212" s="14"/>
      <c r="M212" s="14"/>
      <c r="N212" s="14"/>
      <c r="O212" s="8"/>
    </row>
    <row r="213" spans="1:15" ht="11.1" hidden="1" customHeight="1">
      <c r="A213" s="7">
        <v>437</v>
      </c>
      <c r="B213" s="8" t="s">
        <v>13</v>
      </c>
      <c r="C213" s="8" t="s">
        <v>300</v>
      </c>
      <c r="D213" s="8" t="str">
        <f t="shared" si="3"/>
        <v>Тип Краны железнодорожные</v>
      </c>
      <c r="E213" s="8" t="s">
        <v>301</v>
      </c>
      <c r="F213" s="8" t="s">
        <v>302</v>
      </c>
      <c r="G213" s="8"/>
      <c r="H213" s="9">
        <v>22.5</v>
      </c>
      <c r="I213" s="9">
        <v>22.5</v>
      </c>
      <c r="J213" s="14">
        <v>22.5</v>
      </c>
      <c r="K213" s="14">
        <v>22.5</v>
      </c>
      <c r="L213" s="14"/>
      <c r="M213" s="14"/>
      <c r="N213" s="14"/>
      <c r="O213" s="8"/>
    </row>
    <row r="214" spans="1:15" ht="11.1" hidden="1" customHeight="1">
      <c r="A214" s="7">
        <v>438</v>
      </c>
      <c r="B214" s="8" t="s">
        <v>13</v>
      </c>
      <c r="C214" s="8" t="s">
        <v>303</v>
      </c>
      <c r="D214" s="8" t="str">
        <f t="shared" si="3"/>
        <v>Тип Краны железнодорожные</v>
      </c>
      <c r="E214" s="8" t="s">
        <v>301</v>
      </c>
      <c r="F214" s="8" t="s">
        <v>302</v>
      </c>
      <c r="G214" s="8"/>
      <c r="H214" s="9">
        <v>20</v>
      </c>
      <c r="I214" s="9">
        <v>20</v>
      </c>
      <c r="J214" s="14">
        <v>20</v>
      </c>
      <c r="K214" s="14">
        <v>20</v>
      </c>
      <c r="L214" s="14"/>
      <c r="M214" s="14"/>
      <c r="N214" s="14"/>
      <c r="O214" s="7">
        <v>1</v>
      </c>
    </row>
    <row r="215" spans="1:15" ht="11.1" hidden="1" customHeight="1">
      <c r="A215" s="7">
        <v>439</v>
      </c>
      <c r="B215" s="8" t="s">
        <v>13</v>
      </c>
      <c r="C215" s="8" t="s">
        <v>304</v>
      </c>
      <c r="D215" s="8" t="str">
        <f t="shared" si="3"/>
        <v>Тип Краны железнодорожные</v>
      </c>
      <c r="E215" s="8" t="s">
        <v>301</v>
      </c>
      <c r="F215" s="8" t="s">
        <v>305</v>
      </c>
      <c r="G215" s="8"/>
      <c r="H215" s="9">
        <v>22.5</v>
      </c>
      <c r="I215" s="9">
        <v>22.5</v>
      </c>
      <c r="J215" s="14">
        <v>22.5</v>
      </c>
      <c r="K215" s="14">
        <v>22.5</v>
      </c>
      <c r="L215" s="14"/>
      <c r="M215" s="14"/>
      <c r="N215" s="14"/>
      <c r="O215" s="7">
        <v>2</v>
      </c>
    </row>
    <row r="216" spans="1:15" ht="11.1" hidden="1" customHeight="1">
      <c r="A216" s="7">
        <v>440</v>
      </c>
      <c r="B216" s="8" t="s">
        <v>13</v>
      </c>
      <c r="C216" s="8" t="s">
        <v>306</v>
      </c>
      <c r="D216" s="8" t="str">
        <f t="shared" si="3"/>
        <v>Тип Краны железнодорожные</v>
      </c>
      <c r="E216" s="8" t="s">
        <v>301</v>
      </c>
      <c r="F216" s="8" t="s">
        <v>305</v>
      </c>
      <c r="G216" s="8"/>
      <c r="H216" s="9">
        <v>16.8</v>
      </c>
      <c r="I216" s="9">
        <v>16.8</v>
      </c>
      <c r="J216" s="14">
        <v>16.8</v>
      </c>
      <c r="K216" s="14">
        <v>16.8</v>
      </c>
      <c r="L216" s="14"/>
      <c r="M216" s="14"/>
      <c r="N216" s="14"/>
      <c r="O216" s="7">
        <v>3</v>
      </c>
    </row>
    <row r="217" spans="1:15" ht="11.1" hidden="1" customHeight="1">
      <c r="A217" s="7">
        <v>441</v>
      </c>
      <c r="B217" s="8" t="s">
        <v>13</v>
      </c>
      <c r="C217" s="8" t="s">
        <v>307</v>
      </c>
      <c r="D217" s="8" t="str">
        <f t="shared" si="3"/>
        <v>Тип Краны железнодорожные</v>
      </c>
      <c r="E217" s="8" t="s">
        <v>301</v>
      </c>
      <c r="F217" s="8" t="s">
        <v>305</v>
      </c>
      <c r="G217" s="8"/>
      <c r="H217" s="9">
        <v>16.8</v>
      </c>
      <c r="I217" s="9">
        <v>16.8</v>
      </c>
      <c r="J217" s="14">
        <v>16.8</v>
      </c>
      <c r="K217" s="14">
        <v>16.8</v>
      </c>
      <c r="L217" s="14"/>
      <c r="M217" s="14"/>
      <c r="N217" s="14"/>
      <c r="O217" s="7">
        <v>1</v>
      </c>
    </row>
    <row r="218" spans="1:15" ht="11.1" hidden="1" customHeight="1">
      <c r="A218" s="7">
        <v>442</v>
      </c>
      <c r="B218" s="8" t="s">
        <v>13</v>
      </c>
      <c r="C218" s="8" t="s">
        <v>308</v>
      </c>
      <c r="D218" s="8" t="str">
        <f t="shared" si="3"/>
        <v>Тип Краны железнодорожные</v>
      </c>
      <c r="E218" s="8" t="s">
        <v>301</v>
      </c>
      <c r="F218" s="8" t="s">
        <v>305</v>
      </c>
      <c r="G218" s="8"/>
      <c r="H218" s="9">
        <v>22</v>
      </c>
      <c r="I218" s="9">
        <v>22</v>
      </c>
      <c r="J218" s="14">
        <v>22</v>
      </c>
      <c r="K218" s="14">
        <v>22</v>
      </c>
      <c r="L218" s="14"/>
      <c r="M218" s="14"/>
      <c r="N218" s="14"/>
      <c r="O218" s="7">
        <v>3</v>
      </c>
    </row>
    <row r="219" spans="1:15" ht="11.1" hidden="1" customHeight="1">
      <c r="A219" s="7">
        <v>443</v>
      </c>
      <c r="B219" s="8" t="s">
        <v>13</v>
      </c>
      <c r="C219" s="8" t="s">
        <v>309</v>
      </c>
      <c r="D219" s="8" t="str">
        <f t="shared" si="3"/>
        <v>Тип Краны железнодорожные</v>
      </c>
      <c r="E219" s="8" t="s">
        <v>301</v>
      </c>
      <c r="F219" s="8" t="s">
        <v>302</v>
      </c>
      <c r="G219" s="8"/>
      <c r="H219" s="9">
        <v>16.8</v>
      </c>
      <c r="I219" s="9">
        <v>16.8</v>
      </c>
      <c r="J219" s="14">
        <v>16.8</v>
      </c>
      <c r="K219" s="14">
        <v>16.8</v>
      </c>
      <c r="L219" s="14"/>
      <c r="M219" s="14"/>
      <c r="N219" s="14"/>
      <c r="O219" s="8"/>
    </row>
    <row r="220" spans="1:15" ht="11.1" hidden="1" customHeight="1">
      <c r="A220" s="7">
        <v>444</v>
      </c>
      <c r="B220" s="8" t="s">
        <v>13</v>
      </c>
      <c r="C220" s="8" t="s">
        <v>310</v>
      </c>
      <c r="D220" s="8" t="str">
        <f t="shared" si="3"/>
        <v>Тип Краны железнодорожные</v>
      </c>
      <c r="E220" s="8" t="s">
        <v>301</v>
      </c>
      <c r="F220" s="8" t="s">
        <v>305</v>
      </c>
      <c r="G220" s="8"/>
      <c r="H220" s="9">
        <v>11.5</v>
      </c>
      <c r="I220" s="9">
        <v>11.5</v>
      </c>
      <c r="J220" s="14">
        <v>11.5</v>
      </c>
      <c r="K220" s="14">
        <v>11.5</v>
      </c>
      <c r="L220" s="14"/>
      <c r="M220" s="14"/>
      <c r="N220" s="14"/>
      <c r="O220" s="7">
        <v>1</v>
      </c>
    </row>
    <row r="221" spans="1:15" ht="11.1" customHeight="1">
      <c r="A221" s="7">
        <v>447</v>
      </c>
      <c r="B221" s="8" t="s">
        <v>13</v>
      </c>
      <c r="C221" s="8" t="s">
        <v>311</v>
      </c>
      <c r="D221" s="8" t="str">
        <f t="shared" si="3"/>
        <v>Тип Краны пневмоколёсные</v>
      </c>
      <c r="E221" s="8" t="s">
        <v>312</v>
      </c>
      <c r="F221" s="8" t="s">
        <v>313</v>
      </c>
      <c r="G221" s="11">
        <v>2000</v>
      </c>
      <c r="H221" s="9">
        <v>14.5</v>
      </c>
      <c r="I221" s="9">
        <v>14.5</v>
      </c>
      <c r="J221" s="10">
        <v>11.2</v>
      </c>
      <c r="K221" s="10">
        <v>11.2</v>
      </c>
      <c r="L221" s="10"/>
      <c r="M221" s="10"/>
      <c r="N221" s="10"/>
      <c r="O221" s="8"/>
    </row>
    <row r="222" spans="1:15" ht="11.1" customHeight="1">
      <c r="A222" s="7"/>
      <c r="B222" s="8"/>
      <c r="C222" s="8" t="s">
        <v>314</v>
      </c>
      <c r="D222" s="8" t="str">
        <f t="shared" si="3"/>
        <v>Тип Краны пневмоколёсные</v>
      </c>
      <c r="E222" s="8" t="s">
        <v>312</v>
      </c>
      <c r="F222" s="8"/>
      <c r="G222" s="11"/>
      <c r="H222" s="9"/>
      <c r="I222" s="9"/>
      <c r="J222" s="10">
        <v>11.2</v>
      </c>
      <c r="K222" s="10">
        <v>11.2</v>
      </c>
      <c r="L222" s="10"/>
      <c r="M222" s="10"/>
      <c r="N222" s="10"/>
      <c r="O222" s="8"/>
    </row>
    <row r="223" spans="1:15" ht="11.1" customHeight="1">
      <c r="A223" s="7">
        <v>448</v>
      </c>
      <c r="B223" s="8" t="s">
        <v>13</v>
      </c>
      <c r="C223" s="8" t="s">
        <v>315</v>
      </c>
      <c r="D223" s="8" t="str">
        <f t="shared" si="3"/>
        <v>Тип Краны пневмоколёсные</v>
      </c>
      <c r="E223" s="8" t="s">
        <v>312</v>
      </c>
      <c r="F223" s="8" t="s">
        <v>316</v>
      </c>
      <c r="G223" s="8"/>
      <c r="H223" s="9">
        <v>15</v>
      </c>
      <c r="I223" s="9">
        <v>15</v>
      </c>
      <c r="J223" s="14">
        <v>15</v>
      </c>
      <c r="K223" s="14">
        <v>15</v>
      </c>
      <c r="L223" s="14"/>
      <c r="M223" s="14"/>
      <c r="N223" s="14"/>
      <c r="O223" s="7">
        <v>1</v>
      </c>
    </row>
    <row r="224" spans="1:15" ht="11.1" customHeight="1">
      <c r="A224" s="7">
        <v>450</v>
      </c>
      <c r="B224" s="8" t="s">
        <v>13</v>
      </c>
      <c r="C224" s="8" t="s">
        <v>317</v>
      </c>
      <c r="D224" s="8" t="str">
        <f t="shared" si="3"/>
        <v>Тип Краны пневмоколёсные</v>
      </c>
      <c r="E224" s="8" t="s">
        <v>312</v>
      </c>
      <c r="F224" s="8" t="s">
        <v>318</v>
      </c>
      <c r="G224" s="11">
        <v>2250</v>
      </c>
      <c r="H224" s="9">
        <v>15</v>
      </c>
      <c r="I224" s="9">
        <v>15</v>
      </c>
      <c r="J224" s="14">
        <v>9</v>
      </c>
      <c r="K224" s="14">
        <v>12</v>
      </c>
      <c r="L224" s="14"/>
      <c r="M224" s="14"/>
      <c r="N224" s="14"/>
      <c r="O224" s="7">
        <v>2</v>
      </c>
    </row>
    <row r="225" spans="1:15" ht="11.1" hidden="1" customHeight="1">
      <c r="A225" s="7">
        <v>457</v>
      </c>
      <c r="B225" s="8" t="s">
        <v>13</v>
      </c>
      <c r="C225" s="8" t="s">
        <v>319</v>
      </c>
      <c r="D225" s="8" t="str">
        <f t="shared" si="3"/>
        <v>Тип Бортовые</v>
      </c>
      <c r="E225" s="8" t="s">
        <v>153</v>
      </c>
      <c r="F225" s="8" t="s">
        <v>156</v>
      </c>
      <c r="G225" s="8"/>
      <c r="H225" s="9">
        <v>26</v>
      </c>
      <c r="I225" s="9">
        <v>5</v>
      </c>
      <c r="J225" s="14">
        <v>5</v>
      </c>
      <c r="K225" s="14">
        <v>5</v>
      </c>
      <c r="L225" s="14"/>
      <c r="M225" s="14"/>
      <c r="N225" s="14"/>
      <c r="O225" s="7">
        <v>1</v>
      </c>
    </row>
    <row r="226" spans="1:15" ht="11.1" hidden="1" customHeight="1">
      <c r="A226" s="7">
        <v>458</v>
      </c>
      <c r="B226" s="8" t="s">
        <v>13</v>
      </c>
      <c r="C226" s="8" t="s">
        <v>320</v>
      </c>
      <c r="D226" s="8" t="str">
        <f t="shared" si="3"/>
        <v>Тип Осветительное оборудование</v>
      </c>
      <c r="E226" s="8" t="s">
        <v>321</v>
      </c>
      <c r="F226" s="8"/>
      <c r="G226" s="8"/>
      <c r="H226" s="8"/>
      <c r="I226" s="9">
        <v>3.5</v>
      </c>
      <c r="J226" s="14">
        <v>3.5</v>
      </c>
      <c r="K226" s="14">
        <v>3.5</v>
      </c>
      <c r="L226" s="14"/>
      <c r="M226" s="14"/>
      <c r="N226" s="14"/>
      <c r="O226" s="7">
        <v>2</v>
      </c>
    </row>
    <row r="227" spans="1:15" ht="11.1" hidden="1" customHeight="1">
      <c r="A227" s="7">
        <v>459</v>
      </c>
      <c r="B227" s="8" t="s">
        <v>13</v>
      </c>
      <c r="C227" s="8" t="s">
        <v>322</v>
      </c>
      <c r="D227" s="8" t="str">
        <f t="shared" si="3"/>
        <v>Тип Осветительное оборудование</v>
      </c>
      <c r="E227" s="8" t="s">
        <v>321</v>
      </c>
      <c r="F227" s="8"/>
      <c r="G227" s="8"/>
      <c r="H227" s="9">
        <v>2.2999999999999998</v>
      </c>
      <c r="I227" s="9">
        <v>2.2999999999999998</v>
      </c>
      <c r="J227" s="14">
        <v>2.2999999999999998</v>
      </c>
      <c r="K227" s="14">
        <v>2.2999999999999998</v>
      </c>
      <c r="L227" s="14"/>
      <c r="M227" s="14"/>
      <c r="N227" s="14"/>
      <c r="O227" s="7">
        <v>2</v>
      </c>
    </row>
    <row r="228" spans="1:15" ht="11.1" hidden="1" customHeight="1">
      <c r="A228" s="7">
        <v>466</v>
      </c>
      <c r="B228" s="8" t="s">
        <v>13</v>
      </c>
      <c r="C228" s="8" t="s">
        <v>323</v>
      </c>
      <c r="D228" s="8" t="str">
        <f t="shared" si="3"/>
        <v>Тип Установки буровые</v>
      </c>
      <c r="E228" s="8" t="s">
        <v>324</v>
      </c>
      <c r="F228" s="8" t="s">
        <v>325</v>
      </c>
      <c r="G228" s="8"/>
      <c r="H228" s="9">
        <v>11.7</v>
      </c>
      <c r="I228" s="9">
        <v>11.7</v>
      </c>
      <c r="J228" s="14">
        <v>11.7</v>
      </c>
      <c r="K228" s="14">
        <v>11.7</v>
      </c>
      <c r="L228" s="14"/>
      <c r="M228" s="14"/>
      <c r="N228" s="14"/>
      <c r="O228" s="7">
        <v>1</v>
      </c>
    </row>
    <row r="229" spans="1:15" ht="11.1" hidden="1" customHeight="1">
      <c r="A229" s="7">
        <v>467</v>
      </c>
      <c r="B229" s="8" t="s">
        <v>13</v>
      </c>
      <c r="C229" s="8" t="s">
        <v>326</v>
      </c>
      <c r="D229" s="8" t="str">
        <f t="shared" si="3"/>
        <v>Тип Установки буровые</v>
      </c>
      <c r="E229" s="8" t="s">
        <v>324</v>
      </c>
      <c r="F229" s="8" t="s">
        <v>327</v>
      </c>
      <c r="G229" s="8"/>
      <c r="H229" s="9">
        <v>14.5</v>
      </c>
      <c r="I229" s="9">
        <v>14.5</v>
      </c>
      <c r="J229" s="14">
        <v>14.5</v>
      </c>
      <c r="K229" s="14">
        <v>14.5</v>
      </c>
      <c r="L229" s="14"/>
      <c r="M229" s="14"/>
      <c r="N229" s="14"/>
      <c r="O229" s="8"/>
    </row>
    <row r="230" spans="1:15" ht="11.1" hidden="1" customHeight="1">
      <c r="A230" s="7">
        <v>468</v>
      </c>
      <c r="B230" s="8" t="s">
        <v>13</v>
      </c>
      <c r="C230" s="8" t="s">
        <v>328</v>
      </c>
      <c r="D230" s="8" t="str">
        <f t="shared" si="3"/>
        <v>Тип Установки буровые</v>
      </c>
      <c r="E230" s="8" t="s">
        <v>324</v>
      </c>
      <c r="F230" s="8" t="s">
        <v>329</v>
      </c>
      <c r="G230" s="8"/>
      <c r="H230" s="9">
        <v>20</v>
      </c>
      <c r="I230" s="9">
        <v>20</v>
      </c>
      <c r="J230" s="14">
        <v>15.4</v>
      </c>
      <c r="K230" s="14">
        <v>20</v>
      </c>
      <c r="L230" s="14"/>
      <c r="M230" s="14"/>
      <c r="N230" s="14"/>
      <c r="O230" s="7">
        <v>4</v>
      </c>
    </row>
    <row r="231" spans="1:15" ht="11.1" hidden="1" customHeight="1">
      <c r="A231" s="7">
        <v>469</v>
      </c>
      <c r="B231" s="8" t="s">
        <v>13</v>
      </c>
      <c r="C231" s="8" t="s">
        <v>330</v>
      </c>
      <c r="D231" s="8" t="str">
        <f t="shared" si="3"/>
        <v>Тип Установки буровые</v>
      </c>
      <c r="E231" s="8" t="s">
        <v>324</v>
      </c>
      <c r="F231" s="8" t="s">
        <v>331</v>
      </c>
      <c r="G231" s="8"/>
      <c r="H231" s="9">
        <v>13.3</v>
      </c>
      <c r="I231" s="9">
        <v>13.3</v>
      </c>
      <c r="J231" s="14">
        <v>13.3</v>
      </c>
      <c r="K231" s="14">
        <v>13.3</v>
      </c>
      <c r="L231" s="14"/>
      <c r="M231" s="14"/>
      <c r="N231" s="14"/>
      <c r="O231" s="7">
        <v>3</v>
      </c>
    </row>
    <row r="232" spans="1:15" ht="11.1" hidden="1" customHeight="1">
      <c r="A232" s="7">
        <v>470</v>
      </c>
      <c r="B232" s="8" t="s">
        <v>13</v>
      </c>
      <c r="C232" s="8" t="s">
        <v>332</v>
      </c>
      <c r="D232" s="8" t="str">
        <f t="shared" si="3"/>
        <v>Тип Установки буровые</v>
      </c>
      <c r="E232" s="8" t="s">
        <v>324</v>
      </c>
      <c r="F232" s="8" t="s">
        <v>333</v>
      </c>
      <c r="G232" s="8"/>
      <c r="H232" s="9">
        <v>13.1</v>
      </c>
      <c r="I232" s="9">
        <v>13.1</v>
      </c>
      <c r="J232" s="14">
        <v>13.1</v>
      </c>
      <c r="K232" s="14">
        <v>13.1</v>
      </c>
      <c r="L232" s="14"/>
      <c r="M232" s="14"/>
      <c r="N232" s="14"/>
      <c r="O232" s="7">
        <v>1</v>
      </c>
    </row>
    <row r="233" spans="1:15" ht="11.1" hidden="1" customHeight="1">
      <c r="A233" s="7">
        <v>471</v>
      </c>
      <c r="B233" s="8" t="s">
        <v>13</v>
      </c>
      <c r="C233" s="8" t="s">
        <v>334</v>
      </c>
      <c r="D233" s="8" t="str">
        <f t="shared" si="3"/>
        <v>Тип Установки буровые</v>
      </c>
      <c r="E233" s="8" t="s">
        <v>324</v>
      </c>
      <c r="F233" s="8" t="s">
        <v>335</v>
      </c>
      <c r="G233" s="8"/>
      <c r="H233" s="9">
        <v>15</v>
      </c>
      <c r="I233" s="9">
        <v>15</v>
      </c>
      <c r="J233" s="14">
        <v>15</v>
      </c>
      <c r="K233" s="14">
        <v>15</v>
      </c>
      <c r="L233" s="14"/>
      <c r="M233" s="14"/>
      <c r="N233" s="14"/>
      <c r="O233" s="7">
        <v>1</v>
      </c>
    </row>
    <row r="234" spans="1:15" ht="11.1" hidden="1" customHeight="1">
      <c r="A234" s="7">
        <v>472</v>
      </c>
      <c r="B234" s="8" t="s">
        <v>13</v>
      </c>
      <c r="C234" s="8" t="s">
        <v>336</v>
      </c>
      <c r="D234" s="8" t="str">
        <f t="shared" si="3"/>
        <v>Тип Ямобуры</v>
      </c>
      <c r="E234" s="8" t="s">
        <v>337</v>
      </c>
      <c r="F234" s="8"/>
      <c r="G234" s="8"/>
      <c r="H234" s="9">
        <v>6</v>
      </c>
      <c r="I234" s="9">
        <v>6</v>
      </c>
      <c r="J234" s="14">
        <v>6</v>
      </c>
      <c r="K234" s="14">
        <v>6</v>
      </c>
      <c r="L234" s="14"/>
      <c r="M234" s="14"/>
      <c r="N234" s="14"/>
      <c r="O234" s="8"/>
    </row>
    <row r="235" spans="1:15" ht="11.1" hidden="1" customHeight="1">
      <c r="A235" s="7">
        <v>473</v>
      </c>
      <c r="B235" s="8" t="s">
        <v>13</v>
      </c>
      <c r="C235" s="8" t="s">
        <v>338</v>
      </c>
      <c r="D235" s="8" t="str">
        <f t="shared" si="3"/>
        <v>Тип Спецшасси</v>
      </c>
      <c r="E235" s="8" t="s">
        <v>339</v>
      </c>
      <c r="F235" s="8"/>
      <c r="G235" s="8"/>
      <c r="H235" s="9">
        <v>36.4</v>
      </c>
      <c r="I235" s="9">
        <v>10</v>
      </c>
      <c r="J235" s="14">
        <v>10</v>
      </c>
      <c r="K235" s="14">
        <v>10</v>
      </c>
      <c r="L235" s="14"/>
      <c r="M235" s="14"/>
      <c r="N235" s="14"/>
      <c r="O235" s="7">
        <v>2</v>
      </c>
    </row>
    <row r="236" spans="1:15" ht="11.1" hidden="1" customHeight="1">
      <c r="A236" s="7">
        <v>475</v>
      </c>
      <c r="B236" s="8" t="s">
        <v>13</v>
      </c>
      <c r="C236" s="8" t="s">
        <v>340</v>
      </c>
      <c r="D236" s="8" t="str">
        <f t="shared" si="3"/>
        <v>Тип Установки сваебойные</v>
      </c>
      <c r="E236" s="8" t="s">
        <v>341</v>
      </c>
      <c r="F236" s="8" t="s">
        <v>342</v>
      </c>
      <c r="G236" s="8"/>
      <c r="H236" s="9">
        <v>5</v>
      </c>
      <c r="I236" s="9">
        <v>5</v>
      </c>
      <c r="J236" s="14">
        <v>5</v>
      </c>
      <c r="K236" s="14">
        <v>5</v>
      </c>
      <c r="L236" s="14"/>
      <c r="M236" s="14"/>
      <c r="N236" s="14"/>
      <c r="O236" s="7">
        <v>1</v>
      </c>
    </row>
    <row r="237" spans="1:15" ht="11.1" customHeight="1">
      <c r="A237" s="7">
        <v>476</v>
      </c>
      <c r="B237" s="8" t="s">
        <v>13</v>
      </c>
      <c r="C237" s="8" t="s">
        <v>343</v>
      </c>
      <c r="D237" s="8" t="str">
        <f t="shared" si="3"/>
        <v>Тип Погрузчики тракторные</v>
      </c>
      <c r="E237" s="8" t="s">
        <v>344</v>
      </c>
      <c r="F237" s="8" t="s">
        <v>345</v>
      </c>
      <c r="G237" s="8"/>
      <c r="H237" s="9">
        <v>6</v>
      </c>
      <c r="I237" s="9">
        <v>6</v>
      </c>
      <c r="J237" s="14">
        <v>6</v>
      </c>
      <c r="K237" s="14">
        <v>6</v>
      </c>
      <c r="L237" s="14"/>
      <c r="M237" s="14"/>
      <c r="N237" s="14"/>
      <c r="O237" s="7">
        <v>2</v>
      </c>
    </row>
    <row r="238" spans="1:15" ht="11.1" customHeight="1">
      <c r="A238" s="7">
        <v>477</v>
      </c>
      <c r="B238" s="8" t="s">
        <v>13</v>
      </c>
      <c r="C238" s="8" t="s">
        <v>346</v>
      </c>
      <c r="D238" s="8" t="str">
        <f t="shared" si="3"/>
        <v>Тип Погрузчики тракторные</v>
      </c>
      <c r="E238" s="8" t="s">
        <v>344</v>
      </c>
      <c r="F238" s="8" t="s">
        <v>345</v>
      </c>
      <c r="G238" s="8"/>
      <c r="H238" s="9">
        <v>13.2</v>
      </c>
      <c r="I238" s="9">
        <v>13.2</v>
      </c>
      <c r="J238" s="14">
        <v>13.2</v>
      </c>
      <c r="K238" s="14">
        <v>13.2</v>
      </c>
      <c r="L238" s="14"/>
      <c r="M238" s="14"/>
      <c r="N238" s="14"/>
      <c r="O238" s="7">
        <v>1</v>
      </c>
    </row>
    <row r="239" spans="1:15" ht="11.1" customHeight="1">
      <c r="A239" s="7">
        <v>478</v>
      </c>
      <c r="B239" s="8" t="s">
        <v>13</v>
      </c>
      <c r="C239" s="8" t="s">
        <v>347</v>
      </c>
      <c r="D239" s="8" t="str">
        <f t="shared" si="3"/>
        <v>Тип Погрузчики тракторные</v>
      </c>
      <c r="E239" s="8" t="s">
        <v>344</v>
      </c>
      <c r="F239" s="8" t="s">
        <v>348</v>
      </c>
      <c r="G239" s="12">
        <v>850</v>
      </c>
      <c r="H239" s="9">
        <v>8</v>
      </c>
      <c r="I239" s="9">
        <v>8</v>
      </c>
      <c r="J239" s="14">
        <v>8</v>
      </c>
      <c r="K239" s="14">
        <v>8</v>
      </c>
      <c r="L239" s="14"/>
      <c r="M239" s="14"/>
      <c r="N239" s="14"/>
      <c r="O239" s="7">
        <v>1</v>
      </c>
    </row>
    <row r="240" spans="1:15" ht="11.1" customHeight="1">
      <c r="A240" s="22"/>
      <c r="B240" s="22"/>
      <c r="C240" s="23" t="s">
        <v>349</v>
      </c>
      <c r="D240" s="8" t="s">
        <v>350</v>
      </c>
      <c r="E240" s="8" t="s">
        <v>344</v>
      </c>
      <c r="F240" s="9">
        <v>6.4</v>
      </c>
      <c r="G240" s="9">
        <v>6.4</v>
      </c>
      <c r="H240" s="14">
        <v>6.4</v>
      </c>
      <c r="I240" s="22"/>
      <c r="J240" s="14">
        <v>6.4</v>
      </c>
      <c r="K240" s="24"/>
      <c r="L240" s="24"/>
      <c r="M240" s="24"/>
      <c r="N240" s="24"/>
      <c r="O240" s="22"/>
    </row>
    <row r="241" spans="1:15" ht="11.1" customHeight="1">
      <c r="A241" s="22"/>
      <c r="B241" s="22"/>
      <c r="C241" s="23" t="s">
        <v>351</v>
      </c>
      <c r="D241" s="8" t="str">
        <f t="shared" ref="D241:D250" si="4">CONCATENATE("Тип"," ",E241)</f>
        <v>Тип Погрузчики тракторные</v>
      </c>
      <c r="E241" s="8" t="s">
        <v>344</v>
      </c>
      <c r="F241" s="22"/>
      <c r="G241" s="22"/>
      <c r="H241" s="22"/>
      <c r="I241" s="22"/>
      <c r="J241" s="24">
        <v>3</v>
      </c>
      <c r="K241" s="24"/>
      <c r="L241" s="24"/>
      <c r="M241" s="24"/>
      <c r="N241" s="24"/>
      <c r="O241" s="22"/>
    </row>
    <row r="242" spans="1:15" ht="11.1" customHeight="1">
      <c r="A242" s="7">
        <v>479</v>
      </c>
      <c r="B242" s="8" t="s">
        <v>13</v>
      </c>
      <c r="C242" s="8" t="s">
        <v>352</v>
      </c>
      <c r="D242" s="8" t="str">
        <f t="shared" si="4"/>
        <v>Тип Погрузчики тракторные</v>
      </c>
      <c r="E242" s="8" t="s">
        <v>344</v>
      </c>
      <c r="F242" s="8" t="s">
        <v>353</v>
      </c>
      <c r="G242" s="8"/>
      <c r="H242" s="9">
        <v>6.4</v>
      </c>
      <c r="I242" s="9">
        <v>6.4</v>
      </c>
      <c r="J242" s="14">
        <v>6.4</v>
      </c>
      <c r="K242" s="14">
        <v>6.4</v>
      </c>
      <c r="L242" s="14"/>
      <c r="M242" s="14"/>
      <c r="N242" s="14"/>
      <c r="O242" s="7">
        <v>1</v>
      </c>
    </row>
    <row r="243" spans="1:15" ht="11.1" customHeight="1">
      <c r="A243" s="7">
        <v>480</v>
      </c>
      <c r="B243" s="8" t="s">
        <v>13</v>
      </c>
      <c r="C243" s="8" t="s">
        <v>354</v>
      </c>
      <c r="D243" s="8" t="str">
        <f t="shared" si="4"/>
        <v>Тип Погрузчики тракторные</v>
      </c>
      <c r="E243" s="8" t="s">
        <v>344</v>
      </c>
      <c r="F243" s="8" t="s">
        <v>355</v>
      </c>
      <c r="G243" s="12">
        <v>900</v>
      </c>
      <c r="H243" s="9">
        <v>7</v>
      </c>
      <c r="I243" s="9">
        <v>7</v>
      </c>
      <c r="J243" s="14">
        <v>7</v>
      </c>
      <c r="K243" s="14">
        <v>7</v>
      </c>
      <c r="L243" s="14"/>
      <c r="M243" s="14"/>
      <c r="N243" s="14"/>
      <c r="O243" s="7">
        <v>2</v>
      </c>
    </row>
    <row r="244" spans="1:15" ht="11.1" customHeight="1">
      <c r="A244" s="22"/>
      <c r="B244" s="22"/>
      <c r="C244" s="23" t="s">
        <v>356</v>
      </c>
      <c r="D244" s="8" t="str">
        <f t="shared" si="4"/>
        <v>Тип Погрузчики тракторные</v>
      </c>
      <c r="E244" s="8" t="s">
        <v>344</v>
      </c>
      <c r="F244" s="22"/>
      <c r="G244" s="22"/>
      <c r="H244" s="22"/>
      <c r="I244" s="22"/>
      <c r="J244" s="24">
        <v>6.5</v>
      </c>
      <c r="K244" s="24"/>
      <c r="L244" s="24"/>
      <c r="M244" s="24"/>
      <c r="N244" s="24"/>
      <c r="O244" s="22"/>
    </row>
    <row r="245" spans="1:15" ht="11.1" customHeight="1">
      <c r="A245" s="22"/>
      <c r="B245" s="22"/>
      <c r="C245" s="23" t="s">
        <v>357</v>
      </c>
      <c r="D245" s="22" t="str">
        <f t="shared" si="4"/>
        <v>Тип Погрузчики тракторные</v>
      </c>
      <c r="E245" s="8" t="s">
        <v>344</v>
      </c>
      <c r="F245" s="22"/>
      <c r="G245" s="22"/>
      <c r="H245" s="22"/>
      <c r="I245" s="22"/>
      <c r="J245" s="24">
        <v>15.6</v>
      </c>
      <c r="K245" s="24"/>
      <c r="L245" s="24"/>
      <c r="M245" s="24"/>
      <c r="N245" s="24"/>
      <c r="O245" s="22"/>
    </row>
    <row r="246" spans="1:15" ht="11.1" customHeight="1">
      <c r="A246" s="7">
        <v>501</v>
      </c>
      <c r="B246" s="8" t="s">
        <v>13</v>
      </c>
      <c r="C246" s="8" t="s">
        <v>358</v>
      </c>
      <c r="D246" s="8" t="str">
        <f t="shared" si="4"/>
        <v>Тип Погрузчики тракторные</v>
      </c>
      <c r="E246" s="8" t="s">
        <v>344</v>
      </c>
      <c r="F246" s="8" t="s">
        <v>345</v>
      </c>
      <c r="G246" s="11">
        <v>1500</v>
      </c>
      <c r="H246" s="9">
        <v>16</v>
      </c>
      <c r="I246" s="9">
        <v>16</v>
      </c>
      <c r="J246" s="10">
        <v>9.1</v>
      </c>
      <c r="K246" s="10">
        <v>9.1</v>
      </c>
      <c r="L246" s="10"/>
      <c r="M246" s="10"/>
      <c r="N246" s="10"/>
      <c r="O246" s="7">
        <v>1</v>
      </c>
    </row>
    <row r="247" spans="1:15" ht="11.1" customHeight="1">
      <c r="A247" s="7">
        <v>502</v>
      </c>
      <c r="B247" s="8" t="s">
        <v>13</v>
      </c>
      <c r="C247" s="8" t="s">
        <v>359</v>
      </c>
      <c r="D247" s="8" t="str">
        <f t="shared" si="4"/>
        <v>Тип Погрузчики тракторные</v>
      </c>
      <c r="E247" s="8" t="s">
        <v>344</v>
      </c>
      <c r="F247" s="8" t="s">
        <v>360</v>
      </c>
      <c r="G247" s="11">
        <v>1500</v>
      </c>
      <c r="H247" s="9">
        <v>10.3</v>
      </c>
      <c r="I247" s="9">
        <v>10.3</v>
      </c>
      <c r="J247" s="10">
        <v>11.3</v>
      </c>
      <c r="K247" s="10">
        <v>11.3</v>
      </c>
      <c r="L247" s="10"/>
      <c r="M247" s="10"/>
      <c r="N247" s="10"/>
      <c r="O247" s="7">
        <v>4</v>
      </c>
    </row>
    <row r="248" spans="1:15" ht="11.1" customHeight="1">
      <c r="A248" s="7">
        <v>503</v>
      </c>
      <c r="B248" s="8" t="s">
        <v>13</v>
      </c>
      <c r="C248" s="8" t="s">
        <v>361</v>
      </c>
      <c r="D248" s="8" t="str">
        <f t="shared" si="4"/>
        <v>Тип Погрузчики тракторные</v>
      </c>
      <c r="E248" s="8" t="s">
        <v>344</v>
      </c>
      <c r="F248" s="8" t="s">
        <v>348</v>
      </c>
      <c r="G248" s="8"/>
      <c r="H248" s="9">
        <v>6</v>
      </c>
      <c r="I248" s="9">
        <v>6</v>
      </c>
      <c r="J248" s="14">
        <v>6</v>
      </c>
      <c r="K248" s="14">
        <v>6</v>
      </c>
      <c r="L248" s="14"/>
      <c r="M248" s="14"/>
      <c r="N248" s="14"/>
      <c r="O248" s="7">
        <v>1</v>
      </c>
    </row>
    <row r="249" spans="1:15" ht="11.1" hidden="1" customHeight="1">
      <c r="A249" s="7">
        <v>523</v>
      </c>
      <c r="B249" s="8" t="s">
        <v>13</v>
      </c>
      <c r="C249" s="8" t="s">
        <v>362</v>
      </c>
      <c r="D249" s="8" t="str">
        <f t="shared" si="4"/>
        <v>Тип Седельные тягачи</v>
      </c>
      <c r="E249" s="8" t="s">
        <v>363</v>
      </c>
      <c r="F249" s="8" t="s">
        <v>364</v>
      </c>
      <c r="G249" s="8"/>
      <c r="H249" s="9">
        <v>65.400000000000006</v>
      </c>
      <c r="I249" s="8"/>
      <c r="J249" s="10">
        <v>26.5</v>
      </c>
      <c r="K249" s="10">
        <v>26.5</v>
      </c>
      <c r="L249" s="10"/>
      <c r="M249" s="10"/>
      <c r="N249" s="10"/>
      <c r="O249" s="7">
        <v>3</v>
      </c>
    </row>
    <row r="250" spans="1:15" ht="11.1" hidden="1" customHeight="1">
      <c r="A250" s="7">
        <v>524</v>
      </c>
      <c r="B250" s="8" t="s">
        <v>13</v>
      </c>
      <c r="C250" s="8" t="s">
        <v>365</v>
      </c>
      <c r="D250" s="8" t="str">
        <f t="shared" si="4"/>
        <v>Тип Седельные тягачи</v>
      </c>
      <c r="E250" s="8" t="s">
        <v>363</v>
      </c>
      <c r="F250" s="8" t="s">
        <v>366</v>
      </c>
      <c r="G250" s="11">
        <v>1300</v>
      </c>
      <c r="H250" s="9">
        <v>48.2</v>
      </c>
      <c r="I250" s="8"/>
      <c r="J250" s="10">
        <v>21</v>
      </c>
      <c r="K250" s="10">
        <v>21</v>
      </c>
      <c r="L250" s="10"/>
      <c r="M250" s="10"/>
      <c r="N250" s="10"/>
      <c r="O250" s="7">
        <v>2</v>
      </c>
    </row>
    <row r="251" spans="1:15" ht="11.1" hidden="1" customHeight="1">
      <c r="A251" s="22"/>
      <c r="B251" s="22"/>
      <c r="C251" s="23" t="s">
        <v>367</v>
      </c>
      <c r="D251" s="8" t="s">
        <v>368</v>
      </c>
      <c r="E251" s="8" t="s">
        <v>219</v>
      </c>
      <c r="F251" s="22"/>
      <c r="G251" s="22"/>
      <c r="H251" s="22" t="s">
        <v>369</v>
      </c>
      <c r="I251" s="22"/>
      <c r="J251" s="25">
        <v>9.5</v>
      </c>
      <c r="K251" s="25">
        <v>9.5</v>
      </c>
      <c r="L251" s="24"/>
      <c r="M251" s="24"/>
      <c r="N251" s="24"/>
      <c r="O251" s="22"/>
    </row>
    <row r="252" spans="1:15" ht="11.1" hidden="1" customHeight="1">
      <c r="A252" s="7">
        <v>527</v>
      </c>
      <c r="B252" s="8" t="s">
        <v>13</v>
      </c>
      <c r="C252" s="8" t="s">
        <v>370</v>
      </c>
      <c r="D252" s="8" t="str">
        <f t="shared" ref="D252:D314" si="5">CONCATENATE("Тип"," ",E252)</f>
        <v>Тип Седельные тягачи</v>
      </c>
      <c r="E252" s="8" t="s">
        <v>363</v>
      </c>
      <c r="F252" s="8" t="s">
        <v>371</v>
      </c>
      <c r="G252" s="11">
        <v>1200</v>
      </c>
      <c r="H252" s="9">
        <v>40</v>
      </c>
      <c r="I252" s="9">
        <v>1.5</v>
      </c>
      <c r="J252" s="10">
        <v>22.5</v>
      </c>
      <c r="K252" s="10">
        <v>22.5</v>
      </c>
      <c r="L252" s="10"/>
      <c r="M252" s="10"/>
      <c r="N252" s="10"/>
      <c r="O252" s="7">
        <v>16</v>
      </c>
    </row>
    <row r="253" spans="1:15" ht="11.1" hidden="1" customHeight="1">
      <c r="A253" s="7">
        <v>530</v>
      </c>
      <c r="B253" s="8" t="s">
        <v>13</v>
      </c>
      <c r="C253" s="8" t="s">
        <v>372</v>
      </c>
      <c r="D253" s="8" t="str">
        <f t="shared" si="5"/>
        <v>Тип Седельные тягачи</v>
      </c>
      <c r="E253" s="8" t="s">
        <v>363</v>
      </c>
      <c r="F253" s="8" t="s">
        <v>373</v>
      </c>
      <c r="G253" s="11">
        <v>1200</v>
      </c>
      <c r="H253" s="9">
        <v>40</v>
      </c>
      <c r="I253" s="8"/>
      <c r="J253" s="10">
        <v>22.5</v>
      </c>
      <c r="K253" s="10">
        <v>22.5</v>
      </c>
      <c r="L253" s="10"/>
      <c r="M253" s="10"/>
      <c r="N253" s="10"/>
      <c r="O253" s="7">
        <v>25</v>
      </c>
    </row>
    <row r="254" spans="1:15" ht="11.1" hidden="1" customHeight="1">
      <c r="A254" s="7">
        <v>531</v>
      </c>
      <c r="B254" s="8" t="s">
        <v>13</v>
      </c>
      <c r="C254" s="8" t="s">
        <v>374</v>
      </c>
      <c r="D254" s="8" t="str">
        <f t="shared" si="5"/>
        <v>Тип Седельные тягачи</v>
      </c>
      <c r="E254" s="8" t="s">
        <v>363</v>
      </c>
      <c r="F254" s="8" t="s">
        <v>375</v>
      </c>
      <c r="G254" s="8"/>
      <c r="H254" s="9">
        <v>30</v>
      </c>
      <c r="I254" s="8"/>
      <c r="J254" s="10">
        <v>22.5</v>
      </c>
      <c r="K254" s="10">
        <v>22.5</v>
      </c>
      <c r="L254" s="10"/>
      <c r="M254" s="10"/>
      <c r="N254" s="10"/>
      <c r="O254" s="8"/>
    </row>
    <row r="255" spans="1:15" ht="11.1" hidden="1" customHeight="1">
      <c r="A255" s="7">
        <v>536</v>
      </c>
      <c r="B255" s="8" t="s">
        <v>13</v>
      </c>
      <c r="C255" s="8" t="s">
        <v>376</v>
      </c>
      <c r="D255" s="8" t="str">
        <f t="shared" si="5"/>
        <v>Тип Седельные тягачи</v>
      </c>
      <c r="E255" s="8" t="s">
        <v>363</v>
      </c>
      <c r="F255" s="8" t="s">
        <v>377</v>
      </c>
      <c r="G255" s="8"/>
      <c r="H255" s="9">
        <v>39</v>
      </c>
      <c r="I255" s="8"/>
      <c r="J255" s="10">
        <v>33.5</v>
      </c>
      <c r="K255" s="10">
        <v>33.5</v>
      </c>
      <c r="L255" s="10"/>
      <c r="M255" s="10"/>
      <c r="N255" s="10"/>
      <c r="O255" s="7">
        <v>3</v>
      </c>
    </row>
    <row r="256" spans="1:15" ht="11.1" hidden="1" customHeight="1">
      <c r="A256" s="7">
        <v>537</v>
      </c>
      <c r="B256" s="8" t="s">
        <v>13</v>
      </c>
      <c r="C256" s="8" t="s">
        <v>378</v>
      </c>
      <c r="D256" s="8" t="str">
        <f t="shared" si="5"/>
        <v>Тип Седельные тягачи</v>
      </c>
      <c r="E256" s="8" t="s">
        <v>363</v>
      </c>
      <c r="F256" s="8" t="s">
        <v>379</v>
      </c>
      <c r="G256" s="11">
        <v>1100</v>
      </c>
      <c r="H256" s="9">
        <v>46.8</v>
      </c>
      <c r="I256" s="8"/>
      <c r="J256" s="10">
        <v>33.5</v>
      </c>
      <c r="K256" s="10">
        <v>33.5</v>
      </c>
      <c r="L256" s="10"/>
      <c r="M256" s="10"/>
      <c r="N256" s="10"/>
      <c r="O256" s="7">
        <v>12</v>
      </c>
    </row>
    <row r="257" spans="1:15" ht="11.1" hidden="1" customHeight="1">
      <c r="A257" s="7">
        <v>538</v>
      </c>
      <c r="B257" s="8" t="s">
        <v>13</v>
      </c>
      <c r="C257" s="8" t="s">
        <v>380</v>
      </c>
      <c r="D257" s="8" t="str">
        <f t="shared" si="5"/>
        <v>Тип Седельные тягачи</v>
      </c>
      <c r="E257" s="8" t="s">
        <v>363</v>
      </c>
      <c r="F257" s="8" t="s">
        <v>381</v>
      </c>
      <c r="G257" s="11">
        <v>1100</v>
      </c>
      <c r="H257" s="9">
        <v>41</v>
      </c>
      <c r="I257" s="8"/>
      <c r="J257" s="10">
        <v>33.5</v>
      </c>
      <c r="K257" s="10">
        <v>33.5</v>
      </c>
      <c r="L257" s="10"/>
      <c r="M257" s="10"/>
      <c r="N257" s="10"/>
      <c r="O257" s="8"/>
    </row>
    <row r="258" spans="1:15" ht="11.1" hidden="1" customHeight="1">
      <c r="A258" s="7">
        <v>576</v>
      </c>
      <c r="B258" s="8" t="s">
        <v>13</v>
      </c>
      <c r="C258" s="8" t="s">
        <v>382</v>
      </c>
      <c r="D258" s="8" t="str">
        <f t="shared" si="5"/>
        <v>Тип Самосвалы</v>
      </c>
      <c r="E258" s="8" t="s">
        <v>383</v>
      </c>
      <c r="F258" s="8" t="s">
        <v>384</v>
      </c>
      <c r="G258" s="8"/>
      <c r="H258" s="9">
        <v>51</v>
      </c>
      <c r="I258" s="8"/>
      <c r="J258" s="10">
        <v>14.6</v>
      </c>
      <c r="K258" s="10">
        <v>14.6</v>
      </c>
      <c r="L258" s="10"/>
      <c r="M258" s="10"/>
      <c r="N258" s="10"/>
      <c r="O258" s="7">
        <v>2</v>
      </c>
    </row>
    <row r="259" spans="1:15" ht="11.1" hidden="1" customHeight="1">
      <c r="A259" s="7">
        <v>577</v>
      </c>
      <c r="B259" s="8" t="s">
        <v>13</v>
      </c>
      <c r="C259" s="8" t="s">
        <v>385</v>
      </c>
      <c r="D259" s="8" t="str">
        <f t="shared" si="5"/>
        <v>Тип Самосвалы</v>
      </c>
      <c r="E259" s="8" t="s">
        <v>383</v>
      </c>
      <c r="F259" s="8" t="s">
        <v>384</v>
      </c>
      <c r="G259" s="8"/>
      <c r="H259" s="9">
        <v>49.7</v>
      </c>
      <c r="I259" s="9">
        <v>49.7</v>
      </c>
      <c r="J259" s="10">
        <v>14.6</v>
      </c>
      <c r="K259" s="10">
        <v>14.6</v>
      </c>
      <c r="L259" s="10"/>
      <c r="M259" s="10"/>
      <c r="N259" s="10"/>
      <c r="O259" s="7">
        <v>2</v>
      </c>
    </row>
    <row r="260" spans="1:15" ht="11.1" hidden="1" customHeight="1">
      <c r="A260" s="7">
        <v>578</v>
      </c>
      <c r="B260" s="8" t="s">
        <v>13</v>
      </c>
      <c r="C260" s="8" t="s">
        <v>386</v>
      </c>
      <c r="D260" s="8" t="str">
        <f t="shared" si="5"/>
        <v>Тип Самосвалы</v>
      </c>
      <c r="E260" s="8" t="s">
        <v>383</v>
      </c>
      <c r="F260" s="8" t="s">
        <v>387</v>
      </c>
      <c r="G260" s="8"/>
      <c r="H260" s="9">
        <v>65.400000000000006</v>
      </c>
      <c r="I260" s="8"/>
      <c r="J260" s="10">
        <v>14.6</v>
      </c>
      <c r="K260" s="10">
        <v>14.6</v>
      </c>
      <c r="L260" s="10"/>
      <c r="M260" s="10"/>
      <c r="N260" s="10"/>
      <c r="O260" s="7">
        <v>1</v>
      </c>
    </row>
    <row r="261" spans="1:15" ht="11.1" hidden="1" customHeight="1">
      <c r="A261" s="7">
        <v>579</v>
      </c>
      <c r="B261" s="8" t="s">
        <v>13</v>
      </c>
      <c r="C261" s="8" t="s">
        <v>388</v>
      </c>
      <c r="D261" s="8" t="str">
        <f t="shared" si="5"/>
        <v>Тип Самосвалы</v>
      </c>
      <c r="E261" s="8" t="s">
        <v>383</v>
      </c>
      <c r="F261" s="8" t="s">
        <v>389</v>
      </c>
      <c r="G261" s="11">
        <v>1400</v>
      </c>
      <c r="H261" s="9">
        <v>45</v>
      </c>
      <c r="I261" s="8"/>
      <c r="J261" s="10">
        <v>12.5</v>
      </c>
      <c r="K261" s="10">
        <v>12.5</v>
      </c>
      <c r="L261" s="10"/>
      <c r="M261" s="10"/>
      <c r="N261" s="10"/>
      <c r="O261" s="7">
        <v>10</v>
      </c>
    </row>
    <row r="262" spans="1:15" ht="11.1" hidden="1" customHeight="1">
      <c r="A262" s="7">
        <v>580</v>
      </c>
      <c r="B262" s="8" t="s">
        <v>13</v>
      </c>
      <c r="C262" s="8" t="s">
        <v>390</v>
      </c>
      <c r="D262" s="8" t="str">
        <f t="shared" si="5"/>
        <v>Тип Самосвалы</v>
      </c>
      <c r="E262" s="8" t="s">
        <v>383</v>
      </c>
      <c r="F262" s="8" t="s">
        <v>384</v>
      </c>
      <c r="G262" s="11">
        <v>1400</v>
      </c>
      <c r="H262" s="9">
        <v>45</v>
      </c>
      <c r="I262" s="8"/>
      <c r="J262" s="10">
        <v>12.5</v>
      </c>
      <c r="K262" s="10">
        <v>12.5</v>
      </c>
      <c r="L262" s="10"/>
      <c r="M262" s="10"/>
      <c r="N262" s="10"/>
      <c r="O262" s="7">
        <v>2</v>
      </c>
    </row>
    <row r="263" spans="1:15" ht="11.1" hidden="1" customHeight="1">
      <c r="A263" s="7">
        <v>581</v>
      </c>
      <c r="B263" s="8" t="s">
        <v>13</v>
      </c>
      <c r="C263" s="8" t="s">
        <v>391</v>
      </c>
      <c r="D263" s="8" t="str">
        <f t="shared" si="5"/>
        <v>Тип Самосвалы</v>
      </c>
      <c r="E263" s="8" t="s">
        <v>383</v>
      </c>
      <c r="F263" s="8" t="s">
        <v>392</v>
      </c>
      <c r="G263" s="8"/>
      <c r="H263" s="9">
        <v>78.7</v>
      </c>
      <c r="I263" s="8"/>
      <c r="J263" s="10">
        <v>12.5</v>
      </c>
      <c r="K263" s="10">
        <v>12.5</v>
      </c>
      <c r="L263" s="10"/>
      <c r="M263" s="10"/>
      <c r="N263" s="10"/>
      <c r="O263" s="8"/>
    </row>
    <row r="264" spans="1:15" ht="11.1" hidden="1" customHeight="1">
      <c r="A264" s="7">
        <v>583</v>
      </c>
      <c r="B264" s="8" t="s">
        <v>13</v>
      </c>
      <c r="C264" s="8" t="s">
        <v>393</v>
      </c>
      <c r="D264" s="8" t="str">
        <f t="shared" si="5"/>
        <v>Тип Самосвалы</v>
      </c>
      <c r="E264" s="8" t="s">
        <v>383</v>
      </c>
      <c r="F264" s="8" t="s">
        <v>384</v>
      </c>
      <c r="G264" s="11">
        <v>1400</v>
      </c>
      <c r="H264" s="9">
        <v>40.5</v>
      </c>
      <c r="I264" s="8"/>
      <c r="J264" s="10">
        <v>14.3</v>
      </c>
      <c r="K264" s="10">
        <v>14.3</v>
      </c>
      <c r="L264" s="10"/>
      <c r="M264" s="10"/>
      <c r="N264" s="10"/>
      <c r="O264" s="7">
        <v>28</v>
      </c>
    </row>
    <row r="265" spans="1:15" ht="11.1" hidden="1" customHeight="1">
      <c r="A265" s="7">
        <v>585</v>
      </c>
      <c r="B265" s="8" t="s">
        <v>13</v>
      </c>
      <c r="C265" s="8" t="s">
        <v>394</v>
      </c>
      <c r="D265" s="8" t="str">
        <f t="shared" si="5"/>
        <v>Тип Самосвалы</v>
      </c>
      <c r="E265" s="8" t="s">
        <v>383</v>
      </c>
      <c r="F265" s="8" t="s">
        <v>395</v>
      </c>
      <c r="G265" s="11">
        <v>1400</v>
      </c>
      <c r="H265" s="9">
        <v>48</v>
      </c>
      <c r="I265" s="8"/>
      <c r="J265" s="10">
        <v>14.3</v>
      </c>
      <c r="K265" s="10">
        <v>14.3</v>
      </c>
      <c r="L265" s="10"/>
      <c r="M265" s="10"/>
      <c r="N265" s="10"/>
      <c r="O265" s="7">
        <v>5</v>
      </c>
    </row>
    <row r="266" spans="1:15" ht="11.1" hidden="1" customHeight="1">
      <c r="A266" s="7">
        <v>593</v>
      </c>
      <c r="B266" s="8" t="s">
        <v>13</v>
      </c>
      <c r="C266" s="8" t="s">
        <v>396</v>
      </c>
      <c r="D266" s="8" t="str">
        <f t="shared" si="5"/>
        <v>Тип Самосвалы</v>
      </c>
      <c r="E266" s="8" t="s">
        <v>383</v>
      </c>
      <c r="F266" s="8" t="s">
        <v>397</v>
      </c>
      <c r="G266" s="11">
        <v>1100</v>
      </c>
      <c r="H266" s="9">
        <v>33</v>
      </c>
      <c r="I266" s="8"/>
      <c r="J266" s="10">
        <v>12.7</v>
      </c>
      <c r="K266" s="10">
        <v>12.7</v>
      </c>
      <c r="L266" s="10"/>
      <c r="M266" s="10"/>
      <c r="N266" s="10"/>
      <c r="O266" s="7">
        <v>4</v>
      </c>
    </row>
    <row r="267" spans="1:15" ht="11.1" hidden="1" customHeight="1">
      <c r="A267" s="7">
        <v>598</v>
      </c>
      <c r="B267" s="8" t="s">
        <v>13</v>
      </c>
      <c r="C267" s="8" t="s">
        <v>398</v>
      </c>
      <c r="D267" s="8" t="str">
        <f t="shared" si="5"/>
        <v>Тип Самосвалы</v>
      </c>
      <c r="E267" s="8" t="s">
        <v>383</v>
      </c>
      <c r="F267" s="8" t="s">
        <v>399</v>
      </c>
      <c r="G267" s="8"/>
      <c r="H267" s="9">
        <v>36.5</v>
      </c>
      <c r="I267" s="8"/>
      <c r="J267" s="10">
        <v>12.7</v>
      </c>
      <c r="K267" s="10">
        <v>12.7</v>
      </c>
      <c r="L267" s="10"/>
      <c r="M267" s="10"/>
      <c r="N267" s="10"/>
      <c r="O267" s="7">
        <v>1</v>
      </c>
    </row>
    <row r="268" spans="1:15" ht="11.1" hidden="1" customHeight="1">
      <c r="A268" s="7">
        <v>599</v>
      </c>
      <c r="B268" s="8" t="s">
        <v>13</v>
      </c>
      <c r="C268" s="8" t="s">
        <v>400</v>
      </c>
      <c r="D268" s="8" t="str">
        <f t="shared" si="5"/>
        <v>Тип Самосвалы</v>
      </c>
      <c r="E268" s="8" t="s">
        <v>383</v>
      </c>
      <c r="F268" s="8" t="s">
        <v>401</v>
      </c>
      <c r="G268" s="8"/>
      <c r="H268" s="9">
        <v>36.5</v>
      </c>
      <c r="I268" s="8"/>
      <c r="J268" s="10">
        <v>7.3</v>
      </c>
      <c r="K268" s="10">
        <v>7.3</v>
      </c>
      <c r="L268" s="10"/>
      <c r="M268" s="10"/>
      <c r="N268" s="10"/>
      <c r="O268" s="7">
        <v>2</v>
      </c>
    </row>
    <row r="269" spans="1:15" ht="11.1" hidden="1" customHeight="1">
      <c r="A269" s="7">
        <v>600</v>
      </c>
      <c r="B269" s="8" t="s">
        <v>13</v>
      </c>
      <c r="C269" s="8" t="s">
        <v>402</v>
      </c>
      <c r="D269" s="8" t="str">
        <f t="shared" si="5"/>
        <v>Тип Самосвалы</v>
      </c>
      <c r="E269" s="8" t="s">
        <v>383</v>
      </c>
      <c r="F269" s="8" t="s">
        <v>403</v>
      </c>
      <c r="G269" s="8"/>
      <c r="H269" s="9">
        <v>34.9</v>
      </c>
      <c r="I269" s="8"/>
      <c r="J269" s="10">
        <v>7.3</v>
      </c>
      <c r="K269" s="10">
        <v>7.3</v>
      </c>
      <c r="L269" s="10"/>
      <c r="M269" s="10"/>
      <c r="N269" s="10"/>
      <c r="O269" s="8"/>
    </row>
    <row r="270" spans="1:15" ht="11.1" hidden="1" customHeight="1">
      <c r="A270" s="7">
        <v>601</v>
      </c>
      <c r="B270" s="8" t="s">
        <v>13</v>
      </c>
      <c r="C270" s="8" t="s">
        <v>404</v>
      </c>
      <c r="D270" s="8" t="str">
        <f t="shared" si="5"/>
        <v>Тип Самосвалы</v>
      </c>
      <c r="E270" s="8" t="s">
        <v>383</v>
      </c>
      <c r="F270" s="8" t="s">
        <v>405</v>
      </c>
      <c r="G270" s="8"/>
      <c r="H270" s="9">
        <v>38.299999999999997</v>
      </c>
      <c r="I270" s="8"/>
      <c r="J270" s="10">
        <v>7.3</v>
      </c>
      <c r="K270" s="10">
        <v>7.3</v>
      </c>
      <c r="L270" s="10"/>
      <c r="M270" s="10"/>
      <c r="N270" s="10"/>
      <c r="O270" s="7">
        <v>1</v>
      </c>
    </row>
    <row r="271" spans="1:15" ht="11.1" hidden="1" customHeight="1">
      <c r="A271" s="7">
        <v>602</v>
      </c>
      <c r="B271" s="8" t="s">
        <v>13</v>
      </c>
      <c r="C271" s="8" t="s">
        <v>406</v>
      </c>
      <c r="D271" s="8" t="str">
        <f t="shared" si="5"/>
        <v>Тип Самосвалы</v>
      </c>
      <c r="E271" s="8" t="s">
        <v>383</v>
      </c>
      <c r="F271" s="8" t="s">
        <v>405</v>
      </c>
      <c r="G271" s="11">
        <v>1100</v>
      </c>
      <c r="H271" s="9">
        <v>35</v>
      </c>
      <c r="I271" s="8"/>
      <c r="J271" s="10">
        <v>7.3</v>
      </c>
      <c r="K271" s="10">
        <v>7.3</v>
      </c>
      <c r="L271" s="10"/>
      <c r="M271" s="10"/>
      <c r="N271" s="10"/>
      <c r="O271" s="7">
        <v>1</v>
      </c>
    </row>
    <row r="272" spans="1:15" ht="11.1" hidden="1" customHeight="1">
      <c r="A272" s="7">
        <v>603</v>
      </c>
      <c r="B272" s="8" t="s">
        <v>13</v>
      </c>
      <c r="C272" s="8" t="s">
        <v>407</v>
      </c>
      <c r="D272" s="8" t="str">
        <f t="shared" si="5"/>
        <v>Тип Самосвалы</v>
      </c>
      <c r="E272" s="8" t="s">
        <v>383</v>
      </c>
      <c r="F272" s="8" t="s">
        <v>405</v>
      </c>
      <c r="G272" s="8"/>
      <c r="H272" s="9">
        <v>32.200000000000003</v>
      </c>
      <c r="I272" s="8"/>
      <c r="J272" s="10">
        <v>7.3</v>
      </c>
      <c r="K272" s="10">
        <v>7.3</v>
      </c>
      <c r="L272" s="10"/>
      <c r="M272" s="10"/>
      <c r="N272" s="10"/>
      <c r="O272" s="7">
        <v>1</v>
      </c>
    </row>
    <row r="273" spans="1:22" ht="11.1" hidden="1" customHeight="1">
      <c r="A273" s="7">
        <v>614</v>
      </c>
      <c r="B273" s="8" t="s">
        <v>13</v>
      </c>
      <c r="C273" s="8" t="s">
        <v>408</v>
      </c>
      <c r="D273" s="8" t="str">
        <f t="shared" si="5"/>
        <v>Тип Установки сваебойные</v>
      </c>
      <c r="E273" s="8" t="s">
        <v>341</v>
      </c>
      <c r="F273" s="8" t="s">
        <v>342</v>
      </c>
      <c r="G273" s="8"/>
      <c r="H273" s="9">
        <v>22</v>
      </c>
      <c r="I273" s="9">
        <v>22</v>
      </c>
      <c r="J273" s="14">
        <v>22</v>
      </c>
      <c r="K273" s="14">
        <v>22</v>
      </c>
      <c r="L273" s="14"/>
      <c r="M273" s="14"/>
      <c r="N273" s="14"/>
      <c r="O273" s="7">
        <v>1</v>
      </c>
    </row>
    <row r="274" spans="1:22" ht="11.1" hidden="1" customHeight="1">
      <c r="A274" s="7">
        <v>615</v>
      </c>
      <c r="B274" s="8" t="s">
        <v>13</v>
      </c>
      <c r="C274" s="8" t="s">
        <v>409</v>
      </c>
      <c r="D274" s="8" t="str">
        <f t="shared" si="5"/>
        <v>Тип Установки сваебойные</v>
      </c>
      <c r="E274" s="8" t="s">
        <v>341</v>
      </c>
      <c r="F274" s="8"/>
      <c r="G274" s="8"/>
      <c r="H274" s="9">
        <v>22</v>
      </c>
      <c r="I274" s="9">
        <v>22</v>
      </c>
      <c r="J274" s="14">
        <v>22</v>
      </c>
      <c r="K274" s="14">
        <v>22</v>
      </c>
      <c r="L274" s="14"/>
      <c r="M274" s="14"/>
      <c r="N274" s="14"/>
      <c r="O274" s="7">
        <v>1</v>
      </c>
    </row>
    <row r="275" spans="1:22" ht="11.1" hidden="1" customHeight="1">
      <c r="A275" s="7">
        <v>616</v>
      </c>
      <c r="B275" s="8" t="s">
        <v>13</v>
      </c>
      <c r="C275" s="8" t="s">
        <v>410</v>
      </c>
      <c r="D275" s="8" t="str">
        <f t="shared" si="5"/>
        <v>Тип Установки сваебойные</v>
      </c>
      <c r="E275" s="8" t="s">
        <v>341</v>
      </c>
      <c r="F275" s="8"/>
      <c r="G275" s="8"/>
      <c r="H275" s="9">
        <v>17</v>
      </c>
      <c r="I275" s="9">
        <v>17</v>
      </c>
      <c r="J275" s="14">
        <v>17</v>
      </c>
      <c r="K275" s="14">
        <v>17</v>
      </c>
      <c r="L275" s="14"/>
      <c r="M275" s="14"/>
      <c r="N275" s="14"/>
      <c r="O275" s="7">
        <v>1</v>
      </c>
    </row>
    <row r="276" spans="1:22" ht="11.1" hidden="1" customHeight="1">
      <c r="A276" s="7">
        <v>617</v>
      </c>
      <c r="B276" s="8" t="s">
        <v>13</v>
      </c>
      <c r="C276" s="8" t="s">
        <v>411</v>
      </c>
      <c r="D276" s="8" t="str">
        <f t="shared" si="5"/>
        <v>Тип Установки сваебойные</v>
      </c>
      <c r="E276" s="8" t="s">
        <v>341</v>
      </c>
      <c r="F276" s="8"/>
      <c r="G276" s="8"/>
      <c r="H276" s="9">
        <v>16.5</v>
      </c>
      <c r="I276" s="9">
        <v>16.5</v>
      </c>
      <c r="J276" s="14">
        <v>16.5</v>
      </c>
      <c r="K276" s="14">
        <v>16.5</v>
      </c>
      <c r="L276" s="14"/>
      <c r="M276" s="14"/>
      <c r="N276" s="14"/>
      <c r="O276" s="7">
        <v>3</v>
      </c>
    </row>
    <row r="277" spans="1:22" ht="11.1" hidden="1" customHeight="1">
      <c r="A277" s="7">
        <v>623</v>
      </c>
      <c r="B277" s="8" t="s">
        <v>13</v>
      </c>
      <c r="C277" s="8" t="s">
        <v>412</v>
      </c>
      <c r="D277" s="8" t="str">
        <f t="shared" si="5"/>
        <v>Тип Прочее оборудование</v>
      </c>
      <c r="E277" s="8" t="s">
        <v>413</v>
      </c>
      <c r="F277" s="8"/>
      <c r="G277" s="8"/>
      <c r="H277" s="9">
        <v>7</v>
      </c>
      <c r="I277" s="9">
        <v>7</v>
      </c>
      <c r="J277" s="10">
        <v>3.1</v>
      </c>
      <c r="K277" s="10">
        <v>3.1</v>
      </c>
      <c r="L277" s="10"/>
      <c r="M277" s="10"/>
      <c r="N277" s="10"/>
      <c r="O277" s="7">
        <v>2</v>
      </c>
    </row>
    <row r="278" spans="1:22" ht="11.1" hidden="1" customHeight="1">
      <c r="A278" s="7">
        <v>635</v>
      </c>
      <c r="B278" s="8" t="s">
        <v>13</v>
      </c>
      <c r="C278" s="8" t="s">
        <v>414</v>
      </c>
      <c r="D278" s="8" t="str">
        <f t="shared" si="5"/>
        <v>Тип Теплогенераторы</v>
      </c>
      <c r="E278" s="8" t="s">
        <v>415</v>
      </c>
      <c r="F278" s="8"/>
      <c r="G278" s="8"/>
      <c r="H278" s="9">
        <v>10.6</v>
      </c>
      <c r="I278" s="9">
        <v>10.6</v>
      </c>
      <c r="J278" s="14">
        <v>10.6</v>
      </c>
      <c r="K278" s="14">
        <v>10.6</v>
      </c>
      <c r="L278" s="14"/>
      <c r="M278" s="14"/>
      <c r="N278" s="14"/>
      <c r="O278" s="7">
        <v>16</v>
      </c>
    </row>
    <row r="279" spans="1:22" ht="11.1" hidden="1" customHeight="1">
      <c r="A279" s="7">
        <v>648</v>
      </c>
      <c r="B279" s="8" t="s">
        <v>13</v>
      </c>
      <c r="C279" s="8" t="s">
        <v>416</v>
      </c>
      <c r="D279" s="8" t="str">
        <f t="shared" si="5"/>
        <v>Тип Тракторы колесные</v>
      </c>
      <c r="E279" s="8" t="s">
        <v>417</v>
      </c>
      <c r="F279" s="8" t="s">
        <v>418</v>
      </c>
      <c r="G279" s="8"/>
      <c r="H279" s="9">
        <v>16</v>
      </c>
      <c r="I279" s="9">
        <v>16</v>
      </c>
      <c r="J279" s="14">
        <v>16</v>
      </c>
      <c r="K279" s="14">
        <v>16</v>
      </c>
      <c r="L279" s="14"/>
      <c r="M279" s="14"/>
      <c r="N279" s="14"/>
      <c r="O279" s="7">
        <v>1</v>
      </c>
    </row>
    <row r="280" spans="1:22" ht="11.1" hidden="1" customHeight="1">
      <c r="A280" s="7">
        <v>649</v>
      </c>
      <c r="B280" s="8" t="s">
        <v>13</v>
      </c>
      <c r="C280" s="8" t="s">
        <v>419</v>
      </c>
      <c r="D280" s="8" t="str">
        <f t="shared" si="5"/>
        <v>Тип Тракторы колесные</v>
      </c>
      <c r="E280" s="8" t="s">
        <v>417</v>
      </c>
      <c r="F280" s="8" t="s">
        <v>418</v>
      </c>
      <c r="G280" s="8"/>
      <c r="H280" s="9">
        <v>20</v>
      </c>
      <c r="I280" s="9">
        <v>20</v>
      </c>
      <c r="J280" s="14">
        <v>20</v>
      </c>
      <c r="K280" s="14">
        <v>20</v>
      </c>
      <c r="L280" s="14"/>
      <c r="M280" s="14"/>
      <c r="N280" s="14"/>
      <c r="O280" s="7">
        <v>1</v>
      </c>
    </row>
    <row r="281" spans="1:22" ht="11.1" hidden="1" customHeight="1">
      <c r="A281" s="7">
        <v>670</v>
      </c>
      <c r="B281" s="8" t="s">
        <v>13</v>
      </c>
      <c r="C281" s="8" t="s">
        <v>420</v>
      </c>
      <c r="D281" s="8" t="str">
        <f t="shared" si="5"/>
        <v>Тип Установки сваебойные</v>
      </c>
      <c r="E281" s="8" t="s">
        <v>341</v>
      </c>
      <c r="F281" s="8"/>
      <c r="G281" s="8"/>
      <c r="H281" s="9">
        <v>18.5</v>
      </c>
      <c r="I281" s="9">
        <v>18.5</v>
      </c>
      <c r="J281" s="14">
        <v>18.5</v>
      </c>
      <c r="K281" s="14">
        <v>18.5</v>
      </c>
      <c r="L281" s="14"/>
      <c r="M281" s="14"/>
      <c r="N281" s="14"/>
      <c r="O281" s="7">
        <v>1</v>
      </c>
    </row>
    <row r="282" spans="1:22" ht="11.1" hidden="1" customHeight="1">
      <c r="A282" s="7">
        <v>671</v>
      </c>
      <c r="B282" s="8" t="s">
        <v>13</v>
      </c>
      <c r="C282" s="8" t="s">
        <v>421</v>
      </c>
      <c r="D282" s="8" t="str">
        <f t="shared" si="5"/>
        <v>Тип Установки сваебойные</v>
      </c>
      <c r="E282" s="8" t="s">
        <v>341</v>
      </c>
      <c r="F282" s="8"/>
      <c r="G282" s="8"/>
      <c r="H282" s="9">
        <v>22</v>
      </c>
      <c r="I282" s="9">
        <v>22</v>
      </c>
      <c r="J282" s="14">
        <v>22</v>
      </c>
      <c r="K282" s="14">
        <v>22</v>
      </c>
      <c r="L282" s="14"/>
      <c r="M282" s="14"/>
      <c r="N282" s="14"/>
      <c r="O282" s="7">
        <v>3</v>
      </c>
    </row>
    <row r="283" spans="1:22" ht="11.1" customHeight="1">
      <c r="A283" s="7">
        <v>691</v>
      </c>
      <c r="B283" s="8" t="s">
        <v>13</v>
      </c>
      <c r="C283" s="8" t="s">
        <v>422</v>
      </c>
      <c r="D283" s="8" t="str">
        <f t="shared" si="5"/>
        <v>Тип Экскаваторы колёсные</v>
      </c>
      <c r="E283" s="8" t="s">
        <v>423</v>
      </c>
      <c r="F283" s="8" t="s">
        <v>424</v>
      </c>
      <c r="G283" s="11">
        <v>1400</v>
      </c>
      <c r="H283" s="9">
        <v>14</v>
      </c>
      <c r="I283" s="9">
        <v>14</v>
      </c>
      <c r="J283" s="10">
        <v>14</v>
      </c>
      <c r="K283" s="10">
        <v>14</v>
      </c>
      <c r="L283" s="10"/>
      <c r="M283" s="10"/>
      <c r="N283" s="10"/>
      <c r="O283" s="7">
        <v>1</v>
      </c>
    </row>
    <row r="284" spans="1:22" ht="11.1" customHeight="1">
      <c r="A284" s="7">
        <v>692</v>
      </c>
      <c r="B284" s="8" t="s">
        <v>13</v>
      </c>
      <c r="C284" s="8" t="s">
        <v>425</v>
      </c>
      <c r="D284" s="8" t="str">
        <f t="shared" si="5"/>
        <v>Тип Экскаваторы гусеничные</v>
      </c>
      <c r="E284" s="8" t="s">
        <v>426</v>
      </c>
      <c r="F284" s="8" t="s">
        <v>427</v>
      </c>
      <c r="G284" s="8"/>
      <c r="H284" s="9">
        <v>20</v>
      </c>
      <c r="I284" s="9">
        <v>20</v>
      </c>
      <c r="J284" s="10">
        <v>14.9</v>
      </c>
      <c r="K284" s="10">
        <v>14.9</v>
      </c>
      <c r="L284" s="10">
        <v>16.399999999999999</v>
      </c>
      <c r="M284" s="10">
        <v>2.8</v>
      </c>
      <c r="N284" s="10">
        <v>13.5</v>
      </c>
      <c r="O284" s="7">
        <v>1</v>
      </c>
      <c r="T284" s="6">
        <v>3.8</v>
      </c>
      <c r="U284" s="6">
        <v>6</v>
      </c>
      <c r="V284" s="6">
        <f>U284*T284</f>
        <v>22.799999999999997</v>
      </c>
    </row>
    <row r="285" spans="1:22" ht="11.1" customHeight="1">
      <c r="A285" s="7">
        <v>693</v>
      </c>
      <c r="B285" s="8" t="s">
        <v>13</v>
      </c>
      <c r="C285" s="8" t="s">
        <v>428</v>
      </c>
      <c r="D285" s="8" t="str">
        <f t="shared" si="5"/>
        <v>Тип Экскаваторы гусеничные</v>
      </c>
      <c r="E285" s="8" t="s">
        <v>426</v>
      </c>
      <c r="F285" s="8" t="s">
        <v>427</v>
      </c>
      <c r="G285" s="8"/>
      <c r="H285" s="9">
        <v>23</v>
      </c>
      <c r="I285" s="9">
        <v>23</v>
      </c>
      <c r="J285" s="10">
        <v>12.6</v>
      </c>
      <c r="K285" s="10">
        <v>14.6</v>
      </c>
      <c r="L285" s="10"/>
      <c r="M285" s="10"/>
      <c r="N285" s="10"/>
      <c r="O285" s="7">
        <v>1</v>
      </c>
    </row>
    <row r="286" spans="1:22" ht="11.1" customHeight="1">
      <c r="A286" s="7">
        <v>694</v>
      </c>
      <c r="B286" s="8" t="s">
        <v>13</v>
      </c>
      <c r="C286" s="8" t="s">
        <v>429</v>
      </c>
      <c r="D286" s="8" t="str">
        <f t="shared" si="5"/>
        <v>Тип Экскаваторы гусеничные</v>
      </c>
      <c r="E286" s="8" t="s">
        <v>426</v>
      </c>
      <c r="F286" s="8" t="s">
        <v>430</v>
      </c>
      <c r="G286" s="8"/>
      <c r="H286" s="9">
        <v>7</v>
      </c>
      <c r="I286" s="9">
        <v>7</v>
      </c>
      <c r="J286" s="10">
        <v>7</v>
      </c>
      <c r="K286" s="10">
        <v>7</v>
      </c>
      <c r="L286" s="10"/>
      <c r="M286" s="10"/>
      <c r="N286" s="10"/>
      <c r="O286" s="7">
        <v>1</v>
      </c>
    </row>
    <row r="287" spans="1:22" ht="11.1" customHeight="1">
      <c r="A287" s="7">
        <v>695</v>
      </c>
      <c r="B287" s="8" t="s">
        <v>13</v>
      </c>
      <c r="C287" s="8" t="s">
        <v>431</v>
      </c>
      <c r="D287" s="8" t="str">
        <f t="shared" si="5"/>
        <v>Тип Экскаваторы гусеничные</v>
      </c>
      <c r="E287" s="8" t="s">
        <v>426</v>
      </c>
      <c r="F287" s="8" t="s">
        <v>432</v>
      </c>
      <c r="G287" s="8"/>
      <c r="H287" s="9">
        <v>18</v>
      </c>
      <c r="I287" s="9">
        <v>18</v>
      </c>
      <c r="J287" s="10">
        <v>13</v>
      </c>
      <c r="K287" s="10">
        <v>18</v>
      </c>
      <c r="L287" s="10"/>
      <c r="M287" s="10"/>
      <c r="N287" s="10"/>
      <c r="O287" s="7">
        <v>1</v>
      </c>
    </row>
    <row r="288" spans="1:22" ht="11.1" customHeight="1">
      <c r="A288" s="7">
        <v>695</v>
      </c>
      <c r="B288" s="8"/>
      <c r="C288" s="8" t="s">
        <v>433</v>
      </c>
      <c r="D288" s="8" t="str">
        <f t="shared" si="5"/>
        <v>Тип Экскаваторы гусеничные</v>
      </c>
      <c r="E288" s="8" t="s">
        <v>426</v>
      </c>
      <c r="F288" s="8"/>
      <c r="G288" s="8"/>
      <c r="H288" s="9"/>
      <c r="I288" s="9"/>
      <c r="J288" s="10">
        <v>17.399999999999999</v>
      </c>
      <c r="K288" s="10">
        <v>17</v>
      </c>
      <c r="L288" s="10">
        <v>20.8</v>
      </c>
      <c r="M288" s="10">
        <v>2.4</v>
      </c>
      <c r="N288" s="10">
        <v>13.3</v>
      </c>
      <c r="O288" s="7"/>
      <c r="P288" s="21">
        <v>19</v>
      </c>
    </row>
    <row r="289" spans="1:15" ht="11.1" customHeight="1">
      <c r="A289" s="7">
        <v>696</v>
      </c>
      <c r="B289" s="8" t="s">
        <v>13</v>
      </c>
      <c r="C289" s="8" t="s">
        <v>434</v>
      </c>
      <c r="D289" s="8" t="str">
        <f t="shared" si="5"/>
        <v>Тип Экскаваторы гусеничные</v>
      </c>
      <c r="E289" s="8" t="s">
        <v>426</v>
      </c>
      <c r="F289" s="8" t="s">
        <v>435</v>
      </c>
      <c r="G289" s="8"/>
      <c r="H289" s="9">
        <v>10.5</v>
      </c>
      <c r="I289" s="8"/>
      <c r="J289" s="10">
        <v>13.8</v>
      </c>
      <c r="K289" s="10">
        <v>11.8</v>
      </c>
      <c r="L289" s="10"/>
      <c r="M289" s="10"/>
      <c r="N289" s="10"/>
      <c r="O289" s="7">
        <v>1</v>
      </c>
    </row>
    <row r="290" spans="1:15" ht="11.1" customHeight="1">
      <c r="A290" s="7">
        <v>504</v>
      </c>
      <c r="B290" s="8" t="s">
        <v>13</v>
      </c>
      <c r="C290" s="8" t="s">
        <v>436</v>
      </c>
      <c r="D290" s="8" t="str">
        <f t="shared" si="5"/>
        <v>Тип Погрузчики тракторные</v>
      </c>
      <c r="E290" s="8" t="s">
        <v>344</v>
      </c>
      <c r="F290" s="8" t="s">
        <v>345</v>
      </c>
      <c r="G290" s="8"/>
      <c r="H290" s="9">
        <v>14</v>
      </c>
      <c r="I290" s="9">
        <v>14</v>
      </c>
      <c r="J290" s="14">
        <v>14</v>
      </c>
      <c r="K290" s="14">
        <v>14</v>
      </c>
      <c r="L290" s="14"/>
      <c r="M290" s="14"/>
      <c r="N290" s="14"/>
      <c r="O290" s="7">
        <v>1</v>
      </c>
    </row>
    <row r="291" spans="1:15" ht="11.1" customHeight="1">
      <c r="A291" s="7">
        <v>697</v>
      </c>
      <c r="B291" s="8" t="s">
        <v>13</v>
      </c>
      <c r="C291" s="8" t="s">
        <v>437</v>
      </c>
      <c r="D291" s="8" t="str">
        <f t="shared" si="5"/>
        <v>Тип Экскаваторы-погрузчики</v>
      </c>
      <c r="E291" s="8" t="s">
        <v>438</v>
      </c>
      <c r="F291" s="8" t="s">
        <v>439</v>
      </c>
      <c r="G291" s="11">
        <v>1400</v>
      </c>
      <c r="H291" s="9">
        <v>5.5</v>
      </c>
      <c r="I291" s="9">
        <v>5.5</v>
      </c>
      <c r="J291" s="10">
        <v>6.1</v>
      </c>
      <c r="K291" s="10">
        <v>6.1</v>
      </c>
      <c r="L291" s="10"/>
      <c r="M291" s="10"/>
      <c r="N291" s="10"/>
      <c r="O291" s="7">
        <v>3</v>
      </c>
    </row>
    <row r="292" spans="1:15" ht="11.1" customHeight="1">
      <c r="A292" s="7">
        <v>698</v>
      </c>
      <c r="B292" s="8" t="s">
        <v>13</v>
      </c>
      <c r="C292" s="8" t="s">
        <v>440</v>
      </c>
      <c r="D292" s="8" t="str">
        <f t="shared" si="5"/>
        <v>Тип Экскаваторы гусеничные</v>
      </c>
      <c r="E292" s="8" t="s">
        <v>426</v>
      </c>
      <c r="F292" s="8" t="s">
        <v>432</v>
      </c>
      <c r="G292" s="11">
        <v>1300</v>
      </c>
      <c r="H292" s="9">
        <v>18</v>
      </c>
      <c r="I292" s="9">
        <v>12</v>
      </c>
      <c r="J292" s="10">
        <v>12</v>
      </c>
      <c r="K292" s="10">
        <v>12</v>
      </c>
      <c r="L292" s="10"/>
      <c r="M292" s="10"/>
      <c r="N292" s="10"/>
      <c r="O292" s="8"/>
    </row>
    <row r="293" spans="1:15" ht="11.1" customHeight="1">
      <c r="A293" s="7">
        <v>699</v>
      </c>
      <c r="B293" s="8" t="s">
        <v>13</v>
      </c>
      <c r="C293" s="8" t="s">
        <v>441</v>
      </c>
      <c r="D293" s="8" t="str">
        <f t="shared" si="5"/>
        <v>Тип Экскаваторы колёсные</v>
      </c>
      <c r="E293" s="8" t="s">
        <v>423</v>
      </c>
      <c r="F293" s="8" t="s">
        <v>442</v>
      </c>
      <c r="G293" s="11">
        <v>1600</v>
      </c>
      <c r="H293" s="9">
        <v>10.8</v>
      </c>
      <c r="I293" s="9">
        <v>10.8</v>
      </c>
      <c r="J293" s="10">
        <v>10.8</v>
      </c>
      <c r="K293" s="10">
        <v>10.8</v>
      </c>
      <c r="L293" s="10"/>
      <c r="M293" s="10"/>
      <c r="N293" s="10"/>
      <c r="O293" s="7">
        <v>1</v>
      </c>
    </row>
    <row r="294" spans="1:15" ht="11.1" customHeight="1">
      <c r="A294" s="7">
        <v>700</v>
      </c>
      <c r="B294" s="8" t="s">
        <v>13</v>
      </c>
      <c r="C294" s="8" t="s">
        <v>443</v>
      </c>
      <c r="D294" s="8" t="str">
        <f t="shared" si="5"/>
        <v>Тип Экскаваторы колёсные</v>
      </c>
      <c r="E294" s="8" t="s">
        <v>423</v>
      </c>
      <c r="F294" s="8" t="s">
        <v>442</v>
      </c>
      <c r="G294" s="8"/>
      <c r="H294" s="9">
        <v>8.6</v>
      </c>
      <c r="I294" s="9">
        <v>8.6</v>
      </c>
      <c r="J294" s="10">
        <v>8.6</v>
      </c>
      <c r="K294" s="10">
        <v>12.6</v>
      </c>
      <c r="L294" s="10"/>
      <c r="M294" s="10"/>
      <c r="N294" s="10"/>
      <c r="O294" s="7">
        <v>2</v>
      </c>
    </row>
    <row r="295" spans="1:15" ht="11.1" customHeight="1">
      <c r="A295" s="7">
        <v>701</v>
      </c>
      <c r="B295" s="8" t="s">
        <v>13</v>
      </c>
      <c r="C295" s="8" t="s">
        <v>444</v>
      </c>
      <c r="D295" s="8" t="str">
        <f t="shared" si="5"/>
        <v>Тип Экскаваторы гусеничные</v>
      </c>
      <c r="E295" s="8" t="s">
        <v>426</v>
      </c>
      <c r="F295" s="8" t="s">
        <v>435</v>
      </c>
      <c r="G295" s="8"/>
      <c r="H295" s="9">
        <v>12.4</v>
      </c>
      <c r="I295" s="9">
        <v>12.4</v>
      </c>
      <c r="J295" s="10">
        <v>18</v>
      </c>
      <c r="K295" s="10">
        <v>16.399999999999999</v>
      </c>
      <c r="L295" s="10"/>
      <c r="M295" s="10"/>
      <c r="N295" s="10"/>
      <c r="O295" s="7">
        <v>1</v>
      </c>
    </row>
    <row r="296" spans="1:15" ht="11.1" customHeight="1">
      <c r="A296" s="7">
        <v>702</v>
      </c>
      <c r="B296" s="8" t="s">
        <v>13</v>
      </c>
      <c r="C296" s="8" t="s">
        <v>445</v>
      </c>
      <c r="D296" s="8" t="str">
        <f t="shared" si="5"/>
        <v>Тип Экскаваторы гусеничные</v>
      </c>
      <c r="E296" s="8" t="s">
        <v>426</v>
      </c>
      <c r="F296" s="8" t="s">
        <v>435</v>
      </c>
      <c r="G296" s="11">
        <v>1700</v>
      </c>
      <c r="H296" s="9">
        <v>18.600000000000001</v>
      </c>
      <c r="I296" s="9">
        <v>18.600000000000001</v>
      </c>
      <c r="J296" s="10">
        <v>18.600000000000001</v>
      </c>
      <c r="K296" s="10">
        <v>18.600000000000001</v>
      </c>
      <c r="L296" s="10"/>
      <c r="M296" s="10"/>
      <c r="N296" s="10"/>
      <c r="O296" s="7">
        <v>5</v>
      </c>
    </row>
    <row r="297" spans="1:15" ht="11.1" customHeight="1">
      <c r="A297" s="7">
        <v>703</v>
      </c>
      <c r="B297" s="8" t="s">
        <v>13</v>
      </c>
      <c r="C297" s="8" t="s">
        <v>446</v>
      </c>
      <c r="D297" s="8" t="str">
        <f t="shared" si="5"/>
        <v>Тип Экскаваторы гусеничные</v>
      </c>
      <c r="E297" s="8" t="s">
        <v>426</v>
      </c>
      <c r="F297" s="8" t="s">
        <v>435</v>
      </c>
      <c r="G297" s="11">
        <v>1700</v>
      </c>
      <c r="H297" s="9">
        <v>15</v>
      </c>
      <c r="I297" s="9">
        <v>15</v>
      </c>
      <c r="J297" s="10">
        <v>14.2</v>
      </c>
      <c r="K297" s="10">
        <v>11</v>
      </c>
      <c r="L297" s="10"/>
      <c r="M297" s="10"/>
      <c r="N297" s="10"/>
      <c r="O297" s="7">
        <v>1</v>
      </c>
    </row>
    <row r="298" spans="1:15" ht="11.1" customHeight="1">
      <c r="A298" s="7">
        <v>705</v>
      </c>
      <c r="B298" s="8" t="s">
        <v>13</v>
      </c>
      <c r="C298" s="8" t="s">
        <v>447</v>
      </c>
      <c r="D298" s="8" t="str">
        <f t="shared" si="5"/>
        <v>Тип Экскаваторы гусеничные</v>
      </c>
      <c r="E298" s="8" t="s">
        <v>426</v>
      </c>
      <c r="F298" s="8" t="s">
        <v>430</v>
      </c>
      <c r="G298" s="8"/>
      <c r="H298" s="9">
        <v>15.4</v>
      </c>
      <c r="I298" s="9">
        <v>15.4</v>
      </c>
      <c r="J298" s="10">
        <v>13.4</v>
      </c>
      <c r="K298" s="10">
        <v>15.4</v>
      </c>
      <c r="L298" s="10"/>
      <c r="M298" s="10"/>
      <c r="N298" s="10"/>
      <c r="O298" s="7">
        <v>1</v>
      </c>
    </row>
    <row r="299" spans="1:15" ht="11.1" customHeight="1">
      <c r="A299" s="7">
        <v>706</v>
      </c>
      <c r="B299" s="8" t="s">
        <v>13</v>
      </c>
      <c r="C299" s="8" t="s">
        <v>448</v>
      </c>
      <c r="D299" s="8" t="str">
        <f t="shared" si="5"/>
        <v>Тип Экскаваторы гусеничные</v>
      </c>
      <c r="E299" s="8" t="s">
        <v>426</v>
      </c>
      <c r="F299" s="8" t="s">
        <v>435</v>
      </c>
      <c r="G299" s="8"/>
      <c r="H299" s="9">
        <v>18</v>
      </c>
      <c r="I299" s="9">
        <v>18</v>
      </c>
      <c r="J299" s="10">
        <v>18</v>
      </c>
      <c r="K299" s="10">
        <v>18</v>
      </c>
      <c r="L299" s="10"/>
      <c r="M299" s="10"/>
      <c r="N299" s="10"/>
      <c r="O299" s="7">
        <v>2</v>
      </c>
    </row>
    <row r="300" spans="1:15" ht="11.1" customHeight="1">
      <c r="A300" s="7">
        <v>707</v>
      </c>
      <c r="B300" s="8" t="s">
        <v>13</v>
      </c>
      <c r="C300" s="8" t="s">
        <v>449</v>
      </c>
      <c r="D300" s="8" t="str">
        <f t="shared" si="5"/>
        <v>Тип Экскаваторы гусеничные</v>
      </c>
      <c r="E300" s="8" t="s">
        <v>426</v>
      </c>
      <c r="F300" s="8" t="s">
        <v>450</v>
      </c>
      <c r="G300" s="8"/>
      <c r="H300" s="9">
        <v>5.7</v>
      </c>
      <c r="I300" s="9">
        <v>5.7</v>
      </c>
      <c r="J300" s="10">
        <v>5.7</v>
      </c>
      <c r="K300" s="10">
        <v>5.7</v>
      </c>
      <c r="L300" s="10"/>
      <c r="M300" s="10"/>
      <c r="N300" s="10"/>
      <c r="O300" s="7">
        <v>1</v>
      </c>
    </row>
    <row r="301" spans="1:15" ht="11.1" customHeight="1">
      <c r="A301" s="7">
        <v>708</v>
      </c>
      <c r="B301" s="8" t="s">
        <v>13</v>
      </c>
      <c r="C301" s="8" t="s">
        <v>451</v>
      </c>
      <c r="D301" s="8" t="str">
        <f t="shared" si="5"/>
        <v>Тип Экскаваторы гусеничные</v>
      </c>
      <c r="E301" s="8" t="s">
        <v>426</v>
      </c>
      <c r="F301" s="8" t="s">
        <v>452</v>
      </c>
      <c r="G301" s="11">
        <v>1200</v>
      </c>
      <c r="H301" s="9">
        <v>9.3000000000000007</v>
      </c>
      <c r="I301" s="9">
        <v>9.3000000000000007</v>
      </c>
      <c r="J301" s="10">
        <v>9.3000000000000007</v>
      </c>
      <c r="K301" s="10">
        <v>9.3000000000000007</v>
      </c>
      <c r="L301" s="10"/>
      <c r="M301" s="10"/>
      <c r="N301" s="10"/>
      <c r="O301" s="7">
        <v>1</v>
      </c>
    </row>
    <row r="302" spans="1:15" ht="11.1" customHeight="1">
      <c r="A302" s="7">
        <v>709</v>
      </c>
      <c r="B302" s="8" t="s">
        <v>13</v>
      </c>
      <c r="C302" s="8" t="s">
        <v>453</v>
      </c>
      <c r="D302" s="8" t="str">
        <f t="shared" si="5"/>
        <v>Тип Экскаваторы гусеничные</v>
      </c>
      <c r="E302" s="8" t="s">
        <v>426</v>
      </c>
      <c r="F302" s="8" t="s">
        <v>454</v>
      </c>
      <c r="G302" s="11">
        <v>1700</v>
      </c>
      <c r="H302" s="9">
        <v>16.5</v>
      </c>
      <c r="I302" s="9">
        <v>16.5</v>
      </c>
      <c r="J302" s="10">
        <v>13.5</v>
      </c>
      <c r="K302" s="10">
        <v>16.5</v>
      </c>
      <c r="L302" s="10"/>
      <c r="M302" s="10"/>
      <c r="N302" s="10"/>
      <c r="O302" s="7">
        <v>1</v>
      </c>
    </row>
    <row r="303" spans="1:15" ht="11.1" customHeight="1">
      <c r="A303" s="7"/>
      <c r="B303" s="8"/>
      <c r="C303" s="6" t="s">
        <v>455</v>
      </c>
      <c r="D303" s="8" t="str">
        <f t="shared" si="5"/>
        <v>Тип Экскаваторы гусеничные</v>
      </c>
      <c r="E303" s="8" t="s">
        <v>426</v>
      </c>
      <c r="F303" s="8"/>
      <c r="G303" s="11"/>
      <c r="H303" s="9"/>
      <c r="I303" s="9"/>
      <c r="J303" s="10">
        <v>13.5</v>
      </c>
      <c r="K303" s="10">
        <v>16.5</v>
      </c>
      <c r="L303" s="10"/>
      <c r="M303" s="10"/>
      <c r="N303" s="10"/>
      <c r="O303" s="7"/>
    </row>
    <row r="304" spans="1:15" ht="11.1" customHeight="1">
      <c r="A304" s="7">
        <v>710</v>
      </c>
      <c r="B304" s="8" t="s">
        <v>13</v>
      </c>
      <c r="C304" s="8" t="s">
        <v>456</v>
      </c>
      <c r="D304" s="8" t="str">
        <f t="shared" si="5"/>
        <v>Тип Экскаваторы гусеничные</v>
      </c>
      <c r="E304" s="8" t="s">
        <v>426</v>
      </c>
      <c r="F304" s="8" t="s">
        <v>457</v>
      </c>
      <c r="G304" s="11">
        <v>1700</v>
      </c>
      <c r="H304" s="9">
        <v>16.5</v>
      </c>
      <c r="I304" s="9">
        <v>16.5</v>
      </c>
      <c r="J304" s="10">
        <v>14.5</v>
      </c>
      <c r="K304" s="10">
        <v>16.5</v>
      </c>
      <c r="L304" s="10"/>
      <c r="M304" s="10"/>
      <c r="N304" s="10"/>
      <c r="O304" s="7">
        <v>1</v>
      </c>
    </row>
    <row r="305" spans="1:16" ht="11.1" customHeight="1">
      <c r="A305" s="7">
        <v>711</v>
      </c>
      <c r="B305" s="8" t="s">
        <v>13</v>
      </c>
      <c r="C305" s="8" t="s">
        <v>458</v>
      </c>
      <c r="D305" s="8" t="str">
        <f t="shared" si="5"/>
        <v>Тип Экскаваторы гусеничные</v>
      </c>
      <c r="E305" s="8" t="s">
        <v>426</v>
      </c>
      <c r="F305" s="8" t="s">
        <v>427</v>
      </c>
      <c r="G305" s="11">
        <v>1700</v>
      </c>
      <c r="H305" s="9">
        <v>24.5</v>
      </c>
      <c r="I305" s="9">
        <v>24.5</v>
      </c>
      <c r="J305" s="10">
        <v>13.4</v>
      </c>
      <c r="K305" s="10">
        <v>24.5</v>
      </c>
      <c r="L305" s="10"/>
      <c r="M305" s="10"/>
      <c r="N305" s="10"/>
      <c r="O305" s="8"/>
    </row>
    <row r="306" spans="1:16" ht="11.1" customHeight="1">
      <c r="A306" s="7">
        <v>712</v>
      </c>
      <c r="B306" s="8" t="s">
        <v>13</v>
      </c>
      <c r="C306" s="8" t="s">
        <v>459</v>
      </c>
      <c r="D306" s="8" t="str">
        <f t="shared" si="5"/>
        <v>Тип Экскаваторы гусеничные</v>
      </c>
      <c r="E306" s="8" t="s">
        <v>426</v>
      </c>
      <c r="F306" s="8" t="s">
        <v>435</v>
      </c>
      <c r="G306" s="11">
        <v>1700</v>
      </c>
      <c r="H306" s="9">
        <v>16.399999999999999</v>
      </c>
      <c r="I306" s="9">
        <v>16.399999999999999</v>
      </c>
      <c r="J306" s="10">
        <v>13.4</v>
      </c>
      <c r="K306" s="10">
        <v>19.399999999999999</v>
      </c>
      <c r="L306" s="10"/>
      <c r="M306" s="10"/>
      <c r="N306" s="10"/>
      <c r="O306" s="7">
        <v>2</v>
      </c>
    </row>
    <row r="307" spans="1:16" ht="11.1" customHeight="1">
      <c r="A307" s="7">
        <v>716</v>
      </c>
      <c r="B307" s="8" t="s">
        <v>13</v>
      </c>
      <c r="C307" s="8" t="s">
        <v>460</v>
      </c>
      <c r="D307" s="8" t="str">
        <f t="shared" si="5"/>
        <v>Тип Экскаваторы колёсные</v>
      </c>
      <c r="E307" s="8" t="s">
        <v>423</v>
      </c>
      <c r="F307" s="8" t="s">
        <v>461</v>
      </c>
      <c r="G307" s="11">
        <v>1580</v>
      </c>
      <c r="H307" s="9">
        <v>7.6</v>
      </c>
      <c r="I307" s="9">
        <v>7.6</v>
      </c>
      <c r="J307" s="10">
        <v>7.6</v>
      </c>
      <c r="K307" s="10">
        <v>7.6</v>
      </c>
      <c r="L307" s="10"/>
      <c r="M307" s="10"/>
      <c r="N307" s="10"/>
      <c r="O307" s="7">
        <v>1</v>
      </c>
    </row>
    <row r="308" spans="1:16" ht="11.1" customHeight="1">
      <c r="A308" s="7">
        <v>505</v>
      </c>
      <c r="B308" s="8" t="s">
        <v>13</v>
      </c>
      <c r="C308" s="26" t="s">
        <v>462</v>
      </c>
      <c r="D308" s="8" t="str">
        <f t="shared" si="5"/>
        <v>Тип Погрузчики тракторные</v>
      </c>
      <c r="E308" s="8" t="s">
        <v>344</v>
      </c>
      <c r="F308" s="8" t="s">
        <v>345</v>
      </c>
      <c r="G308" s="11">
        <v>1600</v>
      </c>
      <c r="H308" s="9">
        <v>16</v>
      </c>
      <c r="I308" s="9">
        <v>16</v>
      </c>
      <c r="J308" s="14">
        <v>16</v>
      </c>
      <c r="K308" s="14">
        <v>16</v>
      </c>
      <c r="L308" s="14"/>
      <c r="M308" s="14"/>
      <c r="N308" s="14"/>
      <c r="O308" s="7">
        <v>1</v>
      </c>
    </row>
    <row r="309" spans="1:16" ht="11.1" customHeight="1">
      <c r="A309" s="7">
        <v>506</v>
      </c>
      <c r="B309" s="8" t="s">
        <v>13</v>
      </c>
      <c r="C309" s="27" t="s">
        <v>463</v>
      </c>
      <c r="D309" s="8" t="str">
        <f t="shared" si="5"/>
        <v>Тип Погрузчики тракторные</v>
      </c>
      <c r="E309" s="8" t="s">
        <v>344</v>
      </c>
      <c r="F309" s="8" t="s">
        <v>345</v>
      </c>
      <c r="G309" s="12">
        <v>900</v>
      </c>
      <c r="H309" s="9">
        <v>7.5</v>
      </c>
      <c r="I309" s="9">
        <v>7.5</v>
      </c>
      <c r="J309" s="14">
        <v>7.5</v>
      </c>
      <c r="K309" s="14">
        <v>7.5</v>
      </c>
      <c r="L309" s="14"/>
      <c r="M309" s="14"/>
      <c r="N309" s="14"/>
      <c r="O309" s="7">
        <v>1</v>
      </c>
    </row>
    <row r="310" spans="1:16" ht="11.1" customHeight="1">
      <c r="A310" s="7">
        <v>507</v>
      </c>
      <c r="B310" s="8" t="s">
        <v>13</v>
      </c>
      <c r="C310" s="8" t="s">
        <v>464</v>
      </c>
      <c r="D310" s="8" t="str">
        <f t="shared" si="5"/>
        <v>Тип Погрузчики тракторные</v>
      </c>
      <c r="E310" s="8" t="s">
        <v>344</v>
      </c>
      <c r="F310" s="8" t="s">
        <v>345</v>
      </c>
      <c r="G310" s="8"/>
      <c r="H310" s="9">
        <v>12</v>
      </c>
      <c r="I310" s="9">
        <v>12</v>
      </c>
      <c r="J310" s="14">
        <v>12</v>
      </c>
      <c r="K310" s="14">
        <v>12</v>
      </c>
      <c r="L310" s="14"/>
      <c r="M310" s="14"/>
      <c r="N310" s="14"/>
      <c r="O310" s="7">
        <v>1</v>
      </c>
    </row>
    <row r="311" spans="1:16" ht="11.1" customHeight="1">
      <c r="A311" s="22"/>
      <c r="B311" s="22"/>
      <c r="C311" s="23" t="s">
        <v>465</v>
      </c>
      <c r="D311" s="22" t="str">
        <f t="shared" si="5"/>
        <v>Тип Погрузчики тракторные</v>
      </c>
      <c r="E311" s="8" t="s">
        <v>344</v>
      </c>
      <c r="F311" s="22"/>
      <c r="G311" s="22"/>
      <c r="H311" s="22"/>
      <c r="I311" s="22"/>
      <c r="J311" s="24">
        <v>15.6</v>
      </c>
      <c r="K311" s="24"/>
      <c r="L311" s="24"/>
      <c r="M311" s="24"/>
      <c r="N311" s="24"/>
      <c r="O311" s="22"/>
    </row>
    <row r="312" spans="1:16" ht="11.1" hidden="1" customHeight="1">
      <c r="A312" s="7">
        <v>729</v>
      </c>
      <c r="B312" s="8" t="s">
        <v>13</v>
      </c>
      <c r="C312" s="8" t="s">
        <v>466</v>
      </c>
      <c r="D312" s="8" t="str">
        <f t="shared" si="5"/>
        <v>Тип Прочее оборудование</v>
      </c>
      <c r="E312" s="8" t="s">
        <v>413</v>
      </c>
      <c r="F312" s="8"/>
      <c r="G312" s="8"/>
      <c r="H312" s="9">
        <v>12.6</v>
      </c>
      <c r="I312" s="9">
        <v>12.6</v>
      </c>
      <c r="J312" s="10">
        <v>12.6</v>
      </c>
      <c r="K312" s="10">
        <v>12.6</v>
      </c>
      <c r="L312" s="10"/>
      <c r="M312" s="10"/>
      <c r="N312" s="10"/>
      <c r="O312" s="7">
        <v>2</v>
      </c>
    </row>
    <row r="313" spans="1:16" ht="11.1" hidden="1" customHeight="1">
      <c r="A313" s="7">
        <v>730</v>
      </c>
      <c r="B313" s="8" t="s">
        <v>13</v>
      </c>
      <c r="C313" s="8" t="s">
        <v>467</v>
      </c>
      <c r="D313" s="8" t="str">
        <f t="shared" si="5"/>
        <v>Тип Электростанции</v>
      </c>
      <c r="E313" s="8" t="s">
        <v>219</v>
      </c>
      <c r="F313" s="8" t="s">
        <v>224</v>
      </c>
      <c r="G313" s="8"/>
      <c r="H313" s="9">
        <v>10.199999999999999</v>
      </c>
      <c r="I313" s="9">
        <v>10.199999999999999</v>
      </c>
      <c r="J313" s="10">
        <v>9.5</v>
      </c>
      <c r="K313" s="10">
        <v>9.5</v>
      </c>
      <c r="L313" s="10"/>
      <c r="M313" s="10"/>
      <c r="N313" s="10"/>
      <c r="O313" s="7">
        <v>10</v>
      </c>
    </row>
    <row r="314" spans="1:16" ht="11.1" hidden="1" customHeight="1">
      <c r="A314" s="7">
        <v>731</v>
      </c>
      <c r="B314" s="8" t="s">
        <v>13</v>
      </c>
      <c r="C314" s="8" t="s">
        <v>468</v>
      </c>
      <c r="D314" s="8" t="str">
        <f t="shared" si="5"/>
        <v>Тип Электростанции</v>
      </c>
      <c r="E314" s="8" t="s">
        <v>219</v>
      </c>
      <c r="F314" s="8"/>
      <c r="G314" s="8"/>
      <c r="H314" s="9">
        <v>2.7</v>
      </c>
      <c r="I314" s="9">
        <v>2.7</v>
      </c>
      <c r="J314" s="10">
        <v>2.7</v>
      </c>
      <c r="K314" s="10">
        <v>2.7</v>
      </c>
      <c r="L314" s="10"/>
      <c r="M314" s="10"/>
      <c r="N314" s="10"/>
      <c r="O314" s="7">
        <v>2</v>
      </c>
    </row>
    <row r="315" spans="1:16" ht="11.1" hidden="1" customHeight="1">
      <c r="A315" s="22"/>
      <c r="B315" s="22"/>
      <c r="C315" s="23" t="s">
        <v>469</v>
      </c>
      <c r="D315" s="8" t="s">
        <v>368</v>
      </c>
      <c r="E315" s="8" t="s">
        <v>219</v>
      </c>
      <c r="F315" s="22"/>
      <c r="G315" s="22"/>
      <c r="H315" s="22" t="s">
        <v>369</v>
      </c>
      <c r="I315" s="22"/>
      <c r="J315" s="25">
        <v>11</v>
      </c>
      <c r="K315" s="25">
        <v>11</v>
      </c>
      <c r="L315" s="24"/>
      <c r="M315" s="24"/>
      <c r="N315" s="24"/>
      <c r="O315" s="22"/>
    </row>
    <row r="316" spans="1:16" ht="11.1" hidden="1" customHeight="1">
      <c r="A316" s="7">
        <v>732</v>
      </c>
      <c r="B316" s="8" t="s">
        <v>13</v>
      </c>
      <c r="C316" s="8" t="s">
        <v>470</v>
      </c>
      <c r="D316" s="8" t="str">
        <f>CONCATENATE("Тип"," ",E316)</f>
        <v>Тип Электростанции</v>
      </c>
      <c r="E316" s="8" t="s">
        <v>219</v>
      </c>
      <c r="F316" s="8" t="s">
        <v>224</v>
      </c>
      <c r="G316" s="8"/>
      <c r="H316" s="9">
        <v>11.3</v>
      </c>
      <c r="I316" s="9">
        <v>11.3</v>
      </c>
      <c r="J316" s="10">
        <v>10.8</v>
      </c>
      <c r="K316" s="10">
        <v>11.7</v>
      </c>
      <c r="L316" s="10"/>
      <c r="M316" s="10"/>
      <c r="N316" s="10"/>
      <c r="O316" s="7">
        <v>13</v>
      </c>
      <c r="P316" s="21" t="s">
        <v>471</v>
      </c>
    </row>
    <row r="317" spans="1:16" ht="11.1" hidden="1" customHeight="1">
      <c r="A317" s="7">
        <v>733</v>
      </c>
      <c r="B317" s="8" t="s">
        <v>13</v>
      </c>
      <c r="C317" s="8" t="s">
        <v>472</v>
      </c>
      <c r="D317" s="8" t="str">
        <f>CONCATENATE("Тип"," ",E317)</f>
        <v>Тип Электростанции</v>
      </c>
      <c r="E317" s="8" t="s">
        <v>219</v>
      </c>
      <c r="F317" s="8"/>
      <c r="G317" s="8"/>
      <c r="H317" s="9">
        <v>2</v>
      </c>
      <c r="I317" s="9">
        <v>2</v>
      </c>
      <c r="J317" s="10">
        <v>2.5</v>
      </c>
      <c r="K317" s="10">
        <v>2.5</v>
      </c>
      <c r="L317" s="10"/>
      <c r="M317" s="10"/>
      <c r="N317" s="10"/>
      <c r="O317" s="7">
        <v>6</v>
      </c>
    </row>
    <row r="318" spans="1:16" ht="11.1" hidden="1" customHeight="1">
      <c r="A318" s="7">
        <v>735</v>
      </c>
      <c r="B318" s="8" t="s">
        <v>13</v>
      </c>
      <c r="C318" s="8" t="s">
        <v>473</v>
      </c>
      <c r="D318" s="8" t="str">
        <f>CONCATENATE("Тип"," ",E318)</f>
        <v>Тип Электростанции</v>
      </c>
      <c r="E318" s="8" t="s">
        <v>219</v>
      </c>
      <c r="F318" s="8"/>
      <c r="G318" s="8"/>
      <c r="H318" s="9">
        <v>3.3</v>
      </c>
      <c r="I318" s="9">
        <v>3.3</v>
      </c>
      <c r="J318" s="10">
        <v>3.3</v>
      </c>
      <c r="K318" s="10">
        <v>3.3</v>
      </c>
      <c r="L318" s="10"/>
      <c r="M318" s="10"/>
      <c r="N318" s="10"/>
      <c r="O318" s="7">
        <v>9</v>
      </c>
    </row>
    <row r="319" spans="1:16" ht="11.1" hidden="1" customHeight="1">
      <c r="A319" s="22"/>
      <c r="B319" s="22"/>
      <c r="C319" s="23" t="s">
        <v>474</v>
      </c>
      <c r="D319" s="8" t="s">
        <v>368</v>
      </c>
      <c r="E319" s="8" t="s">
        <v>219</v>
      </c>
      <c r="F319" s="22"/>
      <c r="G319" s="22"/>
      <c r="H319" s="22" t="s">
        <v>369</v>
      </c>
      <c r="I319" s="22"/>
      <c r="J319" s="25">
        <v>3.3</v>
      </c>
      <c r="K319" s="25">
        <v>3.3</v>
      </c>
      <c r="L319" s="24"/>
      <c r="M319" s="24"/>
      <c r="N319" s="24"/>
      <c r="O319" s="22"/>
    </row>
    <row r="320" spans="1:16" ht="11.1" hidden="1" customHeight="1">
      <c r="A320" s="7">
        <v>740</v>
      </c>
      <c r="B320" s="8" t="s">
        <v>13</v>
      </c>
      <c r="C320" s="16" t="s">
        <v>475</v>
      </c>
      <c r="D320" s="8" t="str">
        <f>CONCATENATE("Тип"," ",E320)</f>
        <v>Тип Электростанции</v>
      </c>
      <c r="E320" s="8" t="s">
        <v>219</v>
      </c>
      <c r="F320" s="8"/>
      <c r="G320" s="8"/>
      <c r="H320" s="9">
        <v>33.799999999999997</v>
      </c>
      <c r="I320" s="9">
        <v>33.799999999999997</v>
      </c>
      <c r="J320" s="10">
        <v>22</v>
      </c>
      <c r="K320" s="10">
        <v>22</v>
      </c>
      <c r="L320" s="10"/>
      <c r="M320" s="10"/>
      <c r="N320" s="10"/>
      <c r="O320" s="7">
        <v>1</v>
      </c>
    </row>
    <row r="321" spans="1:16" ht="11.45" hidden="1" customHeight="1">
      <c r="C321" s="13" t="s">
        <v>476</v>
      </c>
      <c r="D321" s="8" t="str">
        <f>CONCATENATE("Тип"," ",E321)</f>
        <v>Тип Электростанции</v>
      </c>
      <c r="E321" s="8" t="s">
        <v>219</v>
      </c>
      <c r="J321" s="10">
        <v>12.6</v>
      </c>
      <c r="K321" s="10">
        <v>12.6</v>
      </c>
      <c r="L321" s="28"/>
      <c r="M321" s="28"/>
      <c r="N321" s="28"/>
    </row>
    <row r="322" spans="1:16" ht="11.45" hidden="1" customHeight="1">
      <c r="C322" s="15" t="s">
        <v>477</v>
      </c>
      <c r="D322" s="8" t="s">
        <v>368</v>
      </c>
      <c r="E322" s="8" t="s">
        <v>219</v>
      </c>
      <c r="J322" s="29">
        <v>11.5</v>
      </c>
      <c r="K322" s="29">
        <v>11.5</v>
      </c>
    </row>
    <row r="323" spans="1:16" ht="11.45" hidden="1" customHeight="1">
      <c r="C323" s="30" t="s">
        <v>478</v>
      </c>
      <c r="D323" s="8" t="s">
        <v>479</v>
      </c>
      <c r="E323" s="8" t="s">
        <v>480</v>
      </c>
      <c r="J323" s="29">
        <v>6.8</v>
      </c>
      <c r="K323" s="29">
        <v>6.8</v>
      </c>
    </row>
    <row r="324" spans="1:16" ht="11.45" hidden="1" customHeight="1">
      <c r="A324" s="31">
        <v>736</v>
      </c>
      <c r="B324" s="26" t="s">
        <v>13</v>
      </c>
      <c r="C324" s="8" t="s">
        <v>481</v>
      </c>
      <c r="D324" s="8" t="str">
        <f>CONCATENATE("Тип"," ",E324)</f>
        <v>Тип Электростанции</v>
      </c>
      <c r="E324" s="8" t="s">
        <v>219</v>
      </c>
      <c r="F324" s="26"/>
      <c r="G324" s="26"/>
      <c r="H324" s="32">
        <v>50</v>
      </c>
      <c r="I324" s="32">
        <v>50</v>
      </c>
      <c r="J324" s="28">
        <v>16.100000000000001</v>
      </c>
      <c r="K324" s="28">
        <v>16.100000000000001</v>
      </c>
      <c r="L324" s="28"/>
      <c r="M324" s="28"/>
      <c r="N324" s="28"/>
      <c r="O324" s="31">
        <v>2</v>
      </c>
    </row>
    <row r="325" spans="1:16" ht="11.45" customHeight="1">
      <c r="C325" s="22" t="s">
        <v>482</v>
      </c>
      <c r="D325" s="8" t="str">
        <f>CONCATENATE("Тип"," ",E325)</f>
        <v>Тип Погрузчики тракторные</v>
      </c>
      <c r="E325" s="8" t="s">
        <v>344</v>
      </c>
      <c r="J325" s="29">
        <v>6.5</v>
      </c>
    </row>
    <row r="326" spans="1:16" ht="11.45" hidden="1" customHeight="1">
      <c r="C326" s="16" t="s">
        <v>483</v>
      </c>
      <c r="D326" s="8" t="s">
        <v>368</v>
      </c>
      <c r="E326" s="8" t="s">
        <v>219</v>
      </c>
      <c r="J326" s="29">
        <v>2</v>
      </c>
      <c r="K326" s="29">
        <v>2</v>
      </c>
    </row>
    <row r="327" spans="1:16" ht="11.45" hidden="1" customHeight="1">
      <c r="C327" s="16" t="s">
        <v>484</v>
      </c>
      <c r="D327" s="8" t="s">
        <v>485</v>
      </c>
      <c r="E327" s="8" t="s">
        <v>324</v>
      </c>
      <c r="J327" s="29">
        <v>10.199999999999999</v>
      </c>
      <c r="K327" s="29">
        <v>10.199999999999999</v>
      </c>
    </row>
    <row r="328" spans="1:16" ht="11.45" customHeight="1">
      <c r="C328" s="16" t="s">
        <v>486</v>
      </c>
      <c r="D328" s="8" t="s">
        <v>487</v>
      </c>
      <c r="E328" s="8" t="s">
        <v>272</v>
      </c>
      <c r="J328" s="29">
        <v>7.8</v>
      </c>
      <c r="K328" s="29">
        <v>7.8</v>
      </c>
    </row>
    <row r="329" spans="1:16" ht="11.45" customHeight="1">
      <c r="C329" s="16" t="s">
        <v>488</v>
      </c>
      <c r="D329" s="8" t="s">
        <v>487</v>
      </c>
      <c r="E329" s="8" t="s">
        <v>272</v>
      </c>
      <c r="J329" s="29">
        <v>8.8000000000000007</v>
      </c>
      <c r="K329" s="29">
        <v>8.8000000000000007</v>
      </c>
      <c r="P329" s="21">
        <v>6.5</v>
      </c>
    </row>
    <row r="330" spans="1:16" ht="11.45" hidden="1" customHeight="1">
      <c r="A330" s="31">
        <v>737</v>
      </c>
      <c r="B330" s="26" t="s">
        <v>13</v>
      </c>
      <c r="C330" s="27" t="s">
        <v>489</v>
      </c>
      <c r="D330" s="8" t="str">
        <f>CONCATENATE("Тип"," ",E330)</f>
        <v>Тип Электростанции</v>
      </c>
      <c r="E330" s="8" t="s">
        <v>219</v>
      </c>
      <c r="F330" s="26"/>
      <c r="G330" s="26"/>
      <c r="H330" s="32">
        <v>9</v>
      </c>
      <c r="I330" s="32">
        <v>9</v>
      </c>
      <c r="J330" s="28">
        <v>9</v>
      </c>
      <c r="K330" s="28">
        <v>9</v>
      </c>
      <c r="L330" s="28"/>
      <c r="M330" s="28"/>
      <c r="N330" s="28"/>
      <c r="O330" s="31">
        <v>4</v>
      </c>
    </row>
    <row r="331" spans="1:16" ht="11.45" hidden="1" customHeight="1">
      <c r="C331" s="33" t="s">
        <v>490</v>
      </c>
      <c r="D331" s="8" t="s">
        <v>368</v>
      </c>
      <c r="E331" s="8" t="s">
        <v>219</v>
      </c>
      <c r="J331" s="28">
        <v>9.5</v>
      </c>
    </row>
    <row r="332" spans="1:16" ht="11.45" hidden="1" customHeight="1">
      <c r="C332" s="16" t="s">
        <v>491</v>
      </c>
      <c r="D332" s="8" t="s">
        <v>492</v>
      </c>
      <c r="E332" s="8" t="s">
        <v>259</v>
      </c>
      <c r="H332" s="13" t="s">
        <v>369</v>
      </c>
      <c r="J332" s="34">
        <v>5.6</v>
      </c>
      <c r="K332" s="34">
        <v>5.6</v>
      </c>
    </row>
    <row r="333" spans="1:16" ht="11.45" hidden="1" customHeight="1">
      <c r="C333" s="16" t="s">
        <v>493</v>
      </c>
      <c r="D333" s="8" t="s">
        <v>368</v>
      </c>
      <c r="E333" s="8" t="s">
        <v>219</v>
      </c>
      <c r="H333" s="13" t="s">
        <v>369</v>
      </c>
      <c r="J333" s="34">
        <v>5</v>
      </c>
      <c r="K333" s="34">
        <v>5</v>
      </c>
    </row>
    <row r="334" spans="1:16" ht="11.45" hidden="1" customHeight="1">
      <c r="C334" s="33" t="s">
        <v>494</v>
      </c>
      <c r="D334" s="8" t="s">
        <v>368</v>
      </c>
      <c r="E334" s="8" t="s">
        <v>219</v>
      </c>
      <c r="J334" s="28">
        <v>10.199999999999999</v>
      </c>
    </row>
    <row r="335" spans="1:16" ht="11.45" hidden="1" customHeight="1">
      <c r="C335" s="16" t="s">
        <v>495</v>
      </c>
      <c r="D335" s="8" t="s">
        <v>368</v>
      </c>
      <c r="E335" s="8" t="s">
        <v>219</v>
      </c>
      <c r="J335" s="34">
        <v>9</v>
      </c>
      <c r="K335" s="34">
        <v>9</v>
      </c>
    </row>
    <row r="336" spans="1:16" ht="11.45" customHeight="1">
      <c r="C336" s="8" t="s">
        <v>496</v>
      </c>
      <c r="D336" s="8" t="str">
        <f>CONCATENATE("Тип"," ",E336)</f>
        <v>Тип Краны автомобильные</v>
      </c>
      <c r="E336" s="8" t="s">
        <v>87</v>
      </c>
      <c r="F336" s="8" t="s">
        <v>110</v>
      </c>
      <c r="G336" s="11">
        <v>1450</v>
      </c>
      <c r="H336" s="9">
        <v>45</v>
      </c>
      <c r="I336" s="9">
        <v>13</v>
      </c>
      <c r="J336" s="14">
        <v>8.8000000000000007</v>
      </c>
      <c r="K336" s="14">
        <v>8.8000000000000007</v>
      </c>
    </row>
    <row r="337" spans="3:11" ht="11.45" customHeight="1">
      <c r="C337" s="35" t="s">
        <v>497</v>
      </c>
      <c r="D337" s="8" t="s">
        <v>350</v>
      </c>
      <c r="E337" s="8" t="s">
        <v>344</v>
      </c>
      <c r="J337" s="29">
        <v>14.5</v>
      </c>
      <c r="K337" s="29">
        <v>14.5</v>
      </c>
    </row>
    <row r="338" spans="3:11" ht="11.45" customHeight="1">
      <c r="C338" s="16" t="s">
        <v>498</v>
      </c>
      <c r="D338" s="8" t="str">
        <f>CONCATENATE("Тип"," ",E338)</f>
        <v>Тип Краны автомобильные</v>
      </c>
      <c r="E338" s="8" t="s">
        <v>87</v>
      </c>
      <c r="F338" s="8" t="s">
        <v>110</v>
      </c>
      <c r="G338" s="8"/>
      <c r="H338" s="9">
        <v>32</v>
      </c>
      <c r="I338" s="9">
        <v>8.8000000000000007</v>
      </c>
      <c r="J338" s="14">
        <v>7.6</v>
      </c>
      <c r="K338" s="14">
        <v>7.6</v>
      </c>
    </row>
    <row r="339" spans="3:11" ht="11.45" customHeight="1">
      <c r="C339" s="16" t="s">
        <v>499</v>
      </c>
      <c r="D339" s="8" t="str">
        <f>CONCATENATE("Тип"," ",E339)</f>
        <v>Тип Краны гусеничные</v>
      </c>
      <c r="E339" s="8" t="s">
        <v>272</v>
      </c>
      <c r="F339" s="8" t="s">
        <v>281</v>
      </c>
      <c r="G339" s="8"/>
      <c r="H339" s="8"/>
      <c r="I339" s="8"/>
      <c r="J339" s="10">
        <v>10</v>
      </c>
      <c r="K339" s="10">
        <v>10</v>
      </c>
    </row>
    <row r="340" spans="3:11" ht="11.45" customHeight="1">
      <c r="C340" s="16" t="s">
        <v>500</v>
      </c>
      <c r="D340" s="8" t="str">
        <f>CONCATENATE("Тип"," ",E340)</f>
        <v>Тип Краны автомобильные</v>
      </c>
      <c r="E340" s="8" t="s">
        <v>87</v>
      </c>
      <c r="J340" s="29">
        <v>10</v>
      </c>
    </row>
    <row r="341" spans="3:11" ht="11.45" hidden="1" customHeight="1">
      <c r="C341" s="16" t="s">
        <v>501</v>
      </c>
      <c r="D341" s="8" t="str">
        <f>CONCATENATE("Тип"," ",E341)</f>
        <v>Тип Электростанции</v>
      </c>
      <c r="E341" s="8" t="s">
        <v>219</v>
      </c>
      <c r="J341" s="10">
        <v>9.5</v>
      </c>
    </row>
    <row r="342" spans="3:11" ht="11.45" customHeight="1">
      <c r="C342" s="16" t="s">
        <v>502</v>
      </c>
      <c r="D342" s="8" t="s">
        <v>350</v>
      </c>
      <c r="E342" s="8" t="s">
        <v>344</v>
      </c>
      <c r="J342" s="29">
        <v>11.5</v>
      </c>
    </row>
    <row r="343" spans="3:11" ht="11.45" hidden="1" customHeight="1">
      <c r="C343" s="16" t="s">
        <v>503</v>
      </c>
      <c r="D343" s="8" t="str">
        <f t="shared" ref="D343:D350" si="6">CONCATENATE("Тип"," ",E343)</f>
        <v>Тип Автобетоносмесители</v>
      </c>
      <c r="E343" s="13" t="s">
        <v>15</v>
      </c>
      <c r="J343" s="29">
        <v>5</v>
      </c>
    </row>
    <row r="344" spans="3:11" ht="11.45" customHeight="1">
      <c r="C344" s="16" t="s">
        <v>504</v>
      </c>
      <c r="D344" s="8" t="str">
        <f t="shared" si="6"/>
        <v>Тип Краны гусеничные</v>
      </c>
      <c r="E344" s="8" t="s">
        <v>272</v>
      </c>
      <c r="J344" s="29">
        <v>10</v>
      </c>
    </row>
    <row r="345" spans="3:11" ht="11.45" customHeight="1">
      <c r="C345" s="33" t="s">
        <v>505</v>
      </c>
      <c r="D345" s="22" t="str">
        <f t="shared" si="6"/>
        <v>Тип Погрузчики тракторные</v>
      </c>
      <c r="E345" s="8" t="s">
        <v>344</v>
      </c>
      <c r="J345" s="29">
        <v>9.5</v>
      </c>
    </row>
    <row r="346" spans="3:11" ht="11.45" customHeight="1">
      <c r="C346" s="16" t="s">
        <v>506</v>
      </c>
      <c r="D346" s="8" t="str">
        <f t="shared" si="6"/>
        <v>Тип Экскаваторы гусеничные</v>
      </c>
      <c r="E346" s="8" t="s">
        <v>426</v>
      </c>
      <c r="J346" s="29">
        <v>12.5</v>
      </c>
    </row>
    <row r="347" spans="3:11" ht="11.45" customHeight="1">
      <c r="C347" s="16" t="s">
        <v>507</v>
      </c>
      <c r="D347" s="8" t="str">
        <f t="shared" si="6"/>
        <v>Тип Экскаваторы колёсные</v>
      </c>
      <c r="E347" s="8" t="s">
        <v>423</v>
      </c>
      <c r="J347" s="29">
        <v>12.5</v>
      </c>
    </row>
    <row r="348" spans="3:11" ht="11.45" customHeight="1">
      <c r="C348" s="16" t="s">
        <v>508</v>
      </c>
      <c r="D348" s="8" t="str">
        <f t="shared" si="6"/>
        <v>Тип Бульдозеры</v>
      </c>
      <c r="E348" s="8" t="s">
        <v>204</v>
      </c>
      <c r="J348" s="29">
        <v>18.2</v>
      </c>
    </row>
    <row r="349" spans="3:11" ht="11.45" customHeight="1">
      <c r="C349" s="13" t="s">
        <v>509</v>
      </c>
      <c r="D349" s="22" t="str">
        <f t="shared" si="6"/>
        <v>Тип Погрузчики тракторные</v>
      </c>
      <c r="E349" s="8" t="s">
        <v>344</v>
      </c>
      <c r="J349" s="29">
        <v>13.5</v>
      </c>
    </row>
    <row r="350" spans="3:11" ht="11.45" customHeight="1">
      <c r="C350" s="16" t="s">
        <v>510</v>
      </c>
      <c r="D350" s="8" t="str">
        <f t="shared" si="6"/>
        <v>Тип Экскаваторы гусеничные</v>
      </c>
      <c r="E350" s="8" t="s">
        <v>426</v>
      </c>
      <c r="J350" s="29">
        <v>15.4</v>
      </c>
    </row>
    <row r="351" spans="3:11" ht="11.45" customHeight="1">
      <c r="C351" s="27" t="s">
        <v>511</v>
      </c>
      <c r="D351" s="8" t="s">
        <v>350</v>
      </c>
      <c r="E351" s="8" t="s">
        <v>344</v>
      </c>
      <c r="J351" s="29">
        <v>14.5</v>
      </c>
      <c r="K351" s="29">
        <v>14.5</v>
      </c>
    </row>
    <row r="352" spans="3:11" ht="11.45" customHeight="1">
      <c r="C352" s="16" t="s">
        <v>512</v>
      </c>
      <c r="D352" s="8" t="str">
        <f t="shared" ref="D352:D409" si="7">CONCATENATE("Тип"," ",E352)</f>
        <v>Тип Погрузчики тракторные</v>
      </c>
      <c r="E352" s="8" t="s">
        <v>344</v>
      </c>
      <c r="J352" s="29">
        <v>2</v>
      </c>
    </row>
    <row r="353" spans="3:10" ht="11.45" customHeight="1">
      <c r="C353" s="16" t="s">
        <v>513</v>
      </c>
      <c r="D353" s="8" t="str">
        <f t="shared" si="7"/>
        <v>Тип Экскаваторы колёсные</v>
      </c>
      <c r="E353" s="8" t="s">
        <v>423</v>
      </c>
      <c r="J353" s="29">
        <v>8</v>
      </c>
    </row>
    <row r="354" spans="3:10" ht="11.45" hidden="1" customHeight="1">
      <c r="C354" s="13" t="s">
        <v>514</v>
      </c>
      <c r="D354" s="13" t="str">
        <f t="shared" si="7"/>
        <v>Тип Седельные тягачи</v>
      </c>
      <c r="E354" s="13" t="s">
        <v>363</v>
      </c>
    </row>
    <row r="355" spans="3:10" ht="11.45" hidden="1" customHeight="1">
      <c r="C355" s="16" t="s">
        <v>515</v>
      </c>
      <c r="D355" s="13" t="str">
        <f t="shared" si="7"/>
        <v>Тип Самосвалы</v>
      </c>
      <c r="E355" s="13" t="s">
        <v>383</v>
      </c>
    </row>
    <row r="356" spans="3:10" ht="11.45" hidden="1" customHeight="1">
      <c r="C356" s="16" t="s">
        <v>516</v>
      </c>
      <c r="D356" s="13" t="str">
        <f t="shared" si="7"/>
        <v>Тип Седельные тягачи</v>
      </c>
      <c r="E356" s="13" t="s">
        <v>363</v>
      </c>
    </row>
    <row r="357" spans="3:10" ht="11.45" hidden="1" customHeight="1">
      <c r="C357" s="16" t="s">
        <v>517</v>
      </c>
      <c r="D357" s="13" t="str">
        <f t="shared" si="7"/>
        <v>Тип Самосвалы</v>
      </c>
      <c r="E357" s="13" t="s">
        <v>383</v>
      </c>
    </row>
    <row r="358" spans="3:10" ht="11.45" hidden="1" customHeight="1">
      <c r="C358" s="13" t="s">
        <v>518</v>
      </c>
      <c r="D358" s="13" t="str">
        <f t="shared" si="7"/>
        <v>Тип Седельные тягачи</v>
      </c>
      <c r="E358" s="13" t="s">
        <v>363</v>
      </c>
    </row>
    <row r="359" spans="3:10" ht="11.45" hidden="1" customHeight="1">
      <c r="C359" s="13" t="s">
        <v>519</v>
      </c>
      <c r="D359" s="13" t="str">
        <f t="shared" si="7"/>
        <v>Тип Седельные тягачи</v>
      </c>
      <c r="E359" s="13" t="s">
        <v>363</v>
      </c>
    </row>
    <row r="360" spans="3:10" ht="11.45" hidden="1" customHeight="1">
      <c r="C360" s="16" t="s">
        <v>520</v>
      </c>
      <c r="D360" s="13" t="str">
        <f t="shared" si="7"/>
        <v>Тип Самосвалы</v>
      </c>
      <c r="E360" s="13" t="s">
        <v>383</v>
      </c>
    </row>
    <row r="361" spans="3:10" ht="11.45" hidden="1" customHeight="1">
      <c r="C361" s="16" t="s">
        <v>521</v>
      </c>
      <c r="D361" s="13" t="str">
        <f t="shared" si="7"/>
        <v>Тип Седельные тягачи</v>
      </c>
      <c r="E361" s="13" t="s">
        <v>363</v>
      </c>
    </row>
    <row r="362" spans="3:10" ht="11.45" hidden="1" customHeight="1">
      <c r="C362" s="16" t="s">
        <v>520</v>
      </c>
      <c r="D362" s="13" t="str">
        <f t="shared" si="7"/>
        <v>Тип Самосвалы</v>
      </c>
      <c r="E362" s="13" t="s">
        <v>383</v>
      </c>
    </row>
    <row r="363" spans="3:10" ht="11.45" hidden="1" customHeight="1">
      <c r="C363" s="16" t="s">
        <v>522</v>
      </c>
      <c r="D363" s="13" t="str">
        <f t="shared" si="7"/>
        <v>Тип Самосвалы</v>
      </c>
      <c r="E363" s="13" t="s">
        <v>383</v>
      </c>
    </row>
    <row r="364" spans="3:10" ht="11.45" hidden="1" customHeight="1">
      <c r="C364" s="16" t="s">
        <v>523</v>
      </c>
      <c r="D364" s="13" t="str">
        <f t="shared" si="7"/>
        <v>Тип Самосвалы</v>
      </c>
      <c r="E364" s="13" t="s">
        <v>383</v>
      </c>
    </row>
    <row r="365" spans="3:10" ht="11.45" hidden="1" customHeight="1">
      <c r="C365" s="16" t="s">
        <v>524</v>
      </c>
      <c r="D365" s="13" t="str">
        <f t="shared" si="7"/>
        <v>Тип Самосвалы</v>
      </c>
      <c r="E365" s="13" t="s">
        <v>383</v>
      </c>
    </row>
    <row r="366" spans="3:10" ht="11.45" hidden="1" customHeight="1">
      <c r="C366" s="16" t="s">
        <v>525</v>
      </c>
      <c r="D366" s="13" t="str">
        <f t="shared" si="7"/>
        <v>Тип Самосвалы</v>
      </c>
      <c r="E366" s="13" t="s">
        <v>383</v>
      </c>
    </row>
    <row r="367" spans="3:10" ht="11.45" hidden="1" customHeight="1">
      <c r="C367" s="16" t="s">
        <v>526</v>
      </c>
      <c r="D367" s="13" t="str">
        <f t="shared" si="7"/>
        <v>Тип Самосвалы</v>
      </c>
      <c r="E367" s="13" t="s">
        <v>383</v>
      </c>
    </row>
    <row r="368" spans="3:10" ht="11.45" hidden="1" customHeight="1">
      <c r="C368" s="16" t="s">
        <v>527</v>
      </c>
      <c r="D368" s="13" t="str">
        <f t="shared" si="7"/>
        <v>Тип Седельные тягачи</v>
      </c>
      <c r="E368" s="13" t="s">
        <v>363</v>
      </c>
    </row>
    <row r="369" spans="3:10" ht="11.45" hidden="1" customHeight="1">
      <c r="C369" s="16" t="s">
        <v>528</v>
      </c>
      <c r="D369" s="13" t="str">
        <f t="shared" si="7"/>
        <v>Тип Седельные тягачи</v>
      </c>
      <c r="E369" s="13" t="s">
        <v>363</v>
      </c>
    </row>
    <row r="370" spans="3:10" ht="11.45" hidden="1" customHeight="1">
      <c r="C370" s="16" t="s">
        <v>529</v>
      </c>
      <c r="D370" s="13" t="str">
        <f t="shared" si="7"/>
        <v>Тип Седельные тягачи</v>
      </c>
      <c r="E370" s="13" t="s">
        <v>363</v>
      </c>
    </row>
    <row r="371" spans="3:10" ht="11.45" hidden="1" customHeight="1">
      <c r="C371" s="16" t="s">
        <v>530</v>
      </c>
      <c r="D371" s="13" t="str">
        <f t="shared" si="7"/>
        <v>Тип Самосвалы</v>
      </c>
      <c r="E371" s="13" t="s">
        <v>383</v>
      </c>
    </row>
    <row r="372" spans="3:10" ht="11.45" hidden="1" customHeight="1">
      <c r="C372" s="16" t="s">
        <v>531</v>
      </c>
      <c r="D372" s="13" t="str">
        <f t="shared" si="7"/>
        <v>Тип Седельные тягачи</v>
      </c>
      <c r="E372" s="13" t="s">
        <v>363</v>
      </c>
    </row>
    <row r="373" spans="3:10" ht="11.45" customHeight="1">
      <c r="C373" s="8" t="s">
        <v>532</v>
      </c>
      <c r="D373" s="13" t="str">
        <f t="shared" si="7"/>
        <v>Тип Экскаваторы гусеничные</v>
      </c>
      <c r="E373" s="8" t="s">
        <v>426</v>
      </c>
      <c r="J373" s="29">
        <v>16.5</v>
      </c>
    </row>
    <row r="374" spans="3:10" ht="11.45" hidden="1" customHeight="1">
      <c r="C374" s="16" t="s">
        <v>533</v>
      </c>
      <c r="D374" s="13" t="str">
        <f t="shared" si="7"/>
        <v>Тип Седельные тягачи</v>
      </c>
      <c r="E374" s="13" t="s">
        <v>363</v>
      </c>
    </row>
    <row r="375" spans="3:10" ht="11.45" customHeight="1">
      <c r="C375" s="16" t="s">
        <v>534</v>
      </c>
      <c r="D375" s="13" t="str">
        <f t="shared" si="7"/>
        <v>Тип Погрузчики тракторные</v>
      </c>
      <c r="E375" s="8" t="s">
        <v>344</v>
      </c>
      <c r="J375" s="29">
        <v>2.5</v>
      </c>
    </row>
    <row r="376" spans="3:10" ht="11.45" hidden="1" customHeight="1">
      <c r="C376" s="16" t="s">
        <v>535</v>
      </c>
      <c r="D376" s="13" t="str">
        <f t="shared" si="7"/>
        <v>Тип Катки дорожные</v>
      </c>
      <c r="E376" s="8" t="s">
        <v>239</v>
      </c>
      <c r="J376" s="29">
        <v>6</v>
      </c>
    </row>
    <row r="377" spans="3:10" ht="11.45" hidden="1" customHeight="1">
      <c r="C377" s="16" t="s">
        <v>536</v>
      </c>
      <c r="D377" s="13" t="str">
        <f t="shared" si="7"/>
        <v>Тип Автогрейдеры</v>
      </c>
      <c r="E377" s="13" t="s">
        <v>537</v>
      </c>
      <c r="J377" s="29">
        <v>12</v>
      </c>
    </row>
    <row r="378" spans="3:10" ht="11.45" hidden="1" customHeight="1">
      <c r="C378" s="16" t="s">
        <v>538</v>
      </c>
      <c r="D378" s="13" t="str">
        <f t="shared" si="7"/>
        <v>Тип Тракторы колесные</v>
      </c>
      <c r="E378" s="13" t="s">
        <v>417</v>
      </c>
      <c r="J378" s="29">
        <v>10.8</v>
      </c>
    </row>
    <row r="379" spans="3:10" ht="11.45" hidden="1" customHeight="1">
      <c r="C379" s="16" t="s">
        <v>539</v>
      </c>
      <c r="D379" s="13" t="str">
        <f t="shared" si="7"/>
        <v>Тип Автогрейдеры</v>
      </c>
      <c r="E379" s="13" t="s">
        <v>537</v>
      </c>
      <c r="J379" s="29">
        <v>15</v>
      </c>
    </row>
    <row r="380" spans="3:10" ht="11.45" customHeight="1">
      <c r="C380" s="33" t="s">
        <v>540</v>
      </c>
      <c r="D380" s="26" t="str">
        <f t="shared" si="7"/>
        <v>Тип Экскаваторы-погрузчики</v>
      </c>
      <c r="E380" s="8" t="s">
        <v>438</v>
      </c>
      <c r="J380" s="29">
        <v>6.1</v>
      </c>
    </row>
    <row r="381" spans="3:10" ht="11.45" hidden="1" customHeight="1">
      <c r="C381" s="16" t="s">
        <v>541</v>
      </c>
      <c r="D381" s="13" t="str">
        <f t="shared" si="7"/>
        <v>Тип Осветительное оборудование</v>
      </c>
      <c r="E381" s="8" t="s">
        <v>321</v>
      </c>
      <c r="J381" s="29">
        <v>2.2999999999999998</v>
      </c>
    </row>
    <row r="382" spans="3:10" ht="11.45" hidden="1" customHeight="1">
      <c r="C382" s="16" t="s">
        <v>542</v>
      </c>
      <c r="D382" s="13" t="str">
        <f t="shared" si="7"/>
        <v>Тип Электростанции</v>
      </c>
      <c r="E382" s="8" t="s">
        <v>219</v>
      </c>
      <c r="J382" s="29">
        <v>9</v>
      </c>
    </row>
    <row r="383" spans="3:10" ht="11.45" hidden="1" customHeight="1">
      <c r="C383" s="16" t="s">
        <v>543</v>
      </c>
      <c r="D383" s="13" t="str">
        <f t="shared" si="7"/>
        <v>Тип Автогрейдеры</v>
      </c>
      <c r="E383" s="8" t="s">
        <v>537</v>
      </c>
      <c r="J383" s="29">
        <v>10</v>
      </c>
    </row>
    <row r="384" spans="3:10" ht="11.45" hidden="1" customHeight="1">
      <c r="C384" s="16" t="s">
        <v>544</v>
      </c>
      <c r="D384" s="13" t="str">
        <f t="shared" si="7"/>
        <v>Тип Вибропогружатели</v>
      </c>
      <c r="E384" s="13" t="s">
        <v>212</v>
      </c>
      <c r="J384" s="29">
        <v>24.5</v>
      </c>
    </row>
    <row r="385" spans="3:10" ht="11.45" hidden="1" customHeight="1">
      <c r="C385" s="16" t="s">
        <v>545</v>
      </c>
      <c r="D385" s="13" t="str">
        <f t="shared" si="7"/>
        <v>Тип Вибропогружатели</v>
      </c>
      <c r="E385" s="13" t="s">
        <v>212</v>
      </c>
      <c r="J385" s="29">
        <v>24.5</v>
      </c>
    </row>
    <row r="386" spans="3:10" ht="11.45" hidden="1" customHeight="1">
      <c r="C386" s="16" t="s">
        <v>221</v>
      </c>
      <c r="D386" s="13" t="str">
        <f t="shared" si="7"/>
        <v>Тип Вибропогружатели</v>
      </c>
      <c r="E386" s="13" t="s">
        <v>212</v>
      </c>
      <c r="J386" s="29">
        <v>24.5</v>
      </c>
    </row>
    <row r="387" spans="3:10" ht="11.45" hidden="1" customHeight="1">
      <c r="C387" s="16" t="s">
        <v>546</v>
      </c>
      <c r="D387" s="13" t="str">
        <f t="shared" si="7"/>
        <v>Тип Седельные тягачи</v>
      </c>
      <c r="E387" s="13" t="s">
        <v>363</v>
      </c>
    </row>
    <row r="388" spans="3:10" ht="11.45" hidden="1" customHeight="1">
      <c r="C388" s="16" t="s">
        <v>547</v>
      </c>
      <c r="D388" s="13" t="str">
        <f t="shared" si="7"/>
        <v>Тип Седельные тягачи</v>
      </c>
      <c r="E388" s="13" t="s">
        <v>363</v>
      </c>
    </row>
    <row r="389" spans="3:10" ht="11.45" hidden="1" customHeight="1">
      <c r="C389" s="16" t="s">
        <v>548</v>
      </c>
      <c r="D389" s="13" t="str">
        <f t="shared" si="7"/>
        <v>Тип Седельные тягачи</v>
      </c>
      <c r="E389" s="13" t="s">
        <v>363</v>
      </c>
    </row>
    <row r="390" spans="3:10" ht="11.45" hidden="1" customHeight="1">
      <c r="C390" s="16" t="s">
        <v>549</v>
      </c>
      <c r="D390" s="13" t="str">
        <f t="shared" si="7"/>
        <v>Тип Катки грунтовые</v>
      </c>
      <c r="E390" s="13" t="s">
        <v>550</v>
      </c>
      <c r="J390" s="29">
        <v>5</v>
      </c>
    </row>
    <row r="391" spans="3:10" ht="11.45" hidden="1" customHeight="1">
      <c r="C391" s="16" t="s">
        <v>551</v>
      </c>
      <c r="D391" s="13" t="str">
        <f t="shared" si="7"/>
        <v>Тип Вибропогружатели</v>
      </c>
      <c r="E391" s="13" t="s">
        <v>212</v>
      </c>
      <c r="J391" s="29">
        <v>20</v>
      </c>
    </row>
    <row r="392" spans="3:10" ht="11.45" hidden="1" customHeight="1">
      <c r="C392" s="16" t="s">
        <v>552</v>
      </c>
      <c r="D392" s="13" t="str">
        <f t="shared" si="7"/>
        <v>Тип Вибропогружатели</v>
      </c>
      <c r="E392" s="13" t="s">
        <v>212</v>
      </c>
      <c r="J392" s="29">
        <v>18</v>
      </c>
    </row>
    <row r="393" spans="3:10" ht="11.45" hidden="1" customHeight="1">
      <c r="C393" s="16" t="s">
        <v>553</v>
      </c>
      <c r="D393" s="13" t="str">
        <f t="shared" si="7"/>
        <v>Тип Установки сваебойные</v>
      </c>
      <c r="E393" s="8" t="s">
        <v>341</v>
      </c>
      <c r="J393" s="29">
        <v>24</v>
      </c>
    </row>
    <row r="394" spans="3:10" ht="11.45" hidden="1" customHeight="1">
      <c r="C394" s="36" t="s">
        <v>554</v>
      </c>
      <c r="D394" s="13" t="str">
        <f t="shared" si="7"/>
        <v>Тип Вибропогружатели</v>
      </c>
      <c r="E394" s="13" t="s">
        <v>212</v>
      </c>
      <c r="J394" s="29">
        <v>42</v>
      </c>
    </row>
    <row r="395" spans="3:10" ht="11.45" hidden="1" customHeight="1">
      <c r="C395" s="16" t="s">
        <v>555</v>
      </c>
      <c r="D395" s="13" t="str">
        <f t="shared" si="7"/>
        <v>Тип Вибропогружатели</v>
      </c>
      <c r="E395" s="13" t="s">
        <v>212</v>
      </c>
      <c r="J395" s="29">
        <v>24</v>
      </c>
    </row>
    <row r="396" spans="3:10" ht="11.45" customHeight="1">
      <c r="C396" s="13" t="s">
        <v>112</v>
      </c>
      <c r="D396" s="13" t="str">
        <f t="shared" si="7"/>
        <v>Тип Краны автомобильные</v>
      </c>
      <c r="E396" s="8" t="s">
        <v>87</v>
      </c>
      <c r="J396" s="29">
        <v>8.8000000000000007</v>
      </c>
    </row>
    <row r="397" spans="3:10" ht="11.45" customHeight="1">
      <c r="C397" s="13" t="s">
        <v>556</v>
      </c>
      <c r="D397" s="13" t="str">
        <f t="shared" si="7"/>
        <v>Тип Краны пневмоколёсные</v>
      </c>
      <c r="E397" s="8" t="s">
        <v>312</v>
      </c>
      <c r="J397" s="29">
        <v>10</v>
      </c>
    </row>
    <row r="398" spans="3:10" ht="11.45" customHeight="1">
      <c r="C398" s="16" t="s">
        <v>557</v>
      </c>
      <c r="D398" s="13" t="str">
        <f>CONCATENATE("Тип"," ",E398)</f>
        <v>Тип Краны пневмоколёсные</v>
      </c>
      <c r="E398" s="8" t="s">
        <v>312</v>
      </c>
      <c r="J398" s="29">
        <v>10</v>
      </c>
    </row>
    <row r="399" spans="3:10" ht="11.45" hidden="1" customHeight="1">
      <c r="C399" s="16" t="s">
        <v>558</v>
      </c>
      <c r="D399" s="13" t="str">
        <f t="shared" si="7"/>
        <v>Тип Вибропогружатели</v>
      </c>
      <c r="E399" s="13" t="s">
        <v>212</v>
      </c>
      <c r="J399" s="29">
        <v>24</v>
      </c>
    </row>
    <row r="400" spans="3:10" ht="11.45" hidden="1" customHeight="1">
      <c r="C400" s="16" t="s">
        <v>559</v>
      </c>
      <c r="D400" s="13" t="str">
        <f t="shared" si="7"/>
        <v>Тип Вибропогружатели</v>
      </c>
      <c r="E400" s="13" t="s">
        <v>212</v>
      </c>
      <c r="J400" s="29">
        <v>24</v>
      </c>
    </row>
    <row r="401" spans="1:15" ht="11.45" hidden="1" customHeight="1">
      <c r="C401" s="16" t="s">
        <v>560</v>
      </c>
      <c r="D401" s="13" t="str">
        <f t="shared" si="7"/>
        <v>Тип Катки дорожные</v>
      </c>
      <c r="E401" s="13" t="s">
        <v>239</v>
      </c>
      <c r="J401" s="29">
        <v>8</v>
      </c>
    </row>
    <row r="402" spans="1:15" ht="11.45" customHeight="1">
      <c r="C402" s="33" t="s">
        <v>561</v>
      </c>
      <c r="D402" s="26" t="str">
        <f t="shared" si="7"/>
        <v>Тип Экскаваторы-погрузчики</v>
      </c>
      <c r="E402" s="8" t="s">
        <v>438</v>
      </c>
      <c r="J402" s="29">
        <v>6.1</v>
      </c>
    </row>
    <row r="403" spans="1:15" ht="11.45" hidden="1" customHeight="1">
      <c r="C403" s="16" t="s">
        <v>562</v>
      </c>
      <c r="D403" s="13" t="str">
        <f t="shared" si="7"/>
        <v>Тип Установки сваебойные</v>
      </c>
      <c r="E403" s="8" t="s">
        <v>341</v>
      </c>
      <c r="J403" s="29">
        <v>22</v>
      </c>
    </row>
    <row r="404" spans="1:15" ht="11.45" hidden="1" customHeight="1">
      <c r="C404" s="16" t="s">
        <v>563</v>
      </c>
      <c r="D404" s="13" t="str">
        <f t="shared" si="7"/>
        <v>Тип Вибропогружатели</v>
      </c>
      <c r="E404" s="13" t="s">
        <v>212</v>
      </c>
      <c r="J404" s="29">
        <v>24</v>
      </c>
    </row>
    <row r="405" spans="1:15" ht="11.45" hidden="1" customHeight="1">
      <c r="C405" s="16" t="s">
        <v>564</v>
      </c>
      <c r="D405" s="13" t="str">
        <f t="shared" si="7"/>
        <v>Тип Катки дорожные</v>
      </c>
      <c r="E405" s="13" t="s">
        <v>239</v>
      </c>
      <c r="J405" s="29">
        <v>14</v>
      </c>
    </row>
    <row r="406" spans="1:15" ht="11.45" hidden="1" customHeight="1">
      <c r="C406" s="16" t="s">
        <v>565</v>
      </c>
      <c r="D406" s="13" t="str">
        <f t="shared" si="7"/>
        <v>Тип Автогрейдеры</v>
      </c>
      <c r="E406" s="13" t="s">
        <v>537</v>
      </c>
      <c r="J406" s="29">
        <v>12</v>
      </c>
    </row>
    <row r="407" spans="1:15" ht="11.45" customHeight="1">
      <c r="C407" s="16" t="s">
        <v>566</v>
      </c>
      <c r="D407" s="13" t="str">
        <f t="shared" si="7"/>
        <v>Тип Краны гусеничные</v>
      </c>
      <c r="E407" s="8" t="s">
        <v>272</v>
      </c>
      <c r="J407" s="29">
        <v>7.5</v>
      </c>
    </row>
    <row r="408" spans="1:15" ht="11.45" customHeight="1">
      <c r="C408" s="13" t="s">
        <v>567</v>
      </c>
      <c r="D408" s="13" t="str">
        <f t="shared" si="7"/>
        <v>Тип Экскаваторы гусеничные</v>
      </c>
      <c r="E408" s="8" t="s">
        <v>426</v>
      </c>
      <c r="J408" s="29">
        <v>12</v>
      </c>
    </row>
    <row r="409" spans="1:15" ht="11.45" customHeight="1">
      <c r="C409" s="16" t="s">
        <v>568</v>
      </c>
      <c r="D409" s="13" t="str">
        <f t="shared" si="7"/>
        <v>Тип Экскаваторы гусеничные</v>
      </c>
      <c r="E409" s="8" t="s">
        <v>426</v>
      </c>
      <c r="J409" s="29">
        <v>16.399999999999999</v>
      </c>
    </row>
    <row r="410" spans="1:15" ht="11.45" hidden="1" customHeight="1">
      <c r="C410" s="33" t="s">
        <v>569</v>
      </c>
      <c r="D410" s="8" t="s">
        <v>368</v>
      </c>
      <c r="E410" s="8" t="s">
        <v>219</v>
      </c>
      <c r="J410" s="28">
        <v>7</v>
      </c>
    </row>
    <row r="411" spans="1:15" ht="11.45" customHeight="1">
      <c r="B411" s="16" t="s">
        <v>570</v>
      </c>
      <c r="C411" s="16" t="s">
        <v>571</v>
      </c>
      <c r="D411" s="13" t="str">
        <f>CONCATENATE("Тип"," ",E411)</f>
        <v>Тип Краны пневмоколёсные</v>
      </c>
      <c r="E411" s="8" t="s">
        <v>312</v>
      </c>
      <c r="J411" s="29">
        <v>10</v>
      </c>
    </row>
    <row r="412" spans="1:15" ht="11.45" customHeight="1">
      <c r="C412" s="37" t="s">
        <v>572</v>
      </c>
      <c r="D412" s="13" t="str">
        <f>CONCATENATE("Тип"," ",E412)</f>
        <v>Тип Краны автомобильные</v>
      </c>
      <c r="E412" s="8" t="s">
        <v>87</v>
      </c>
      <c r="J412" s="29">
        <v>8.8000000000000007</v>
      </c>
    </row>
    <row r="413" spans="1:15" ht="11.45" hidden="1" customHeight="1">
      <c r="C413" s="13" t="s">
        <v>573</v>
      </c>
      <c r="D413" s="13" t="str">
        <f>CONCATENATE("Тип"," ",E413)</f>
        <v>Тип Электростанции</v>
      </c>
      <c r="E413" s="13" t="s">
        <v>219</v>
      </c>
    </row>
    <row r="414" spans="1:15" ht="11.45" customHeight="1">
      <c r="C414" s="13" t="s">
        <v>574</v>
      </c>
      <c r="D414" s="13" t="str">
        <f t="shared" ref="D414:D433" si="8">CONCATENATE("Тип"," ",E414)</f>
        <v>Тип Краны автомобильные</v>
      </c>
      <c r="E414" s="8" t="s">
        <v>87</v>
      </c>
      <c r="J414" s="29">
        <v>8.8000000000000007</v>
      </c>
    </row>
    <row r="415" spans="1:15" ht="11.45" customHeight="1">
      <c r="C415" s="13" t="s">
        <v>575</v>
      </c>
      <c r="D415" s="8" t="str">
        <f t="shared" si="8"/>
        <v>Тип Экскаваторы-погрузчики</v>
      </c>
      <c r="E415" s="8" t="s">
        <v>438</v>
      </c>
      <c r="J415" s="29">
        <v>9</v>
      </c>
      <c r="K415" s="29">
        <v>9</v>
      </c>
    </row>
    <row r="416" spans="1:15" ht="11.45" customHeight="1">
      <c r="A416" s="31"/>
      <c r="B416" s="26"/>
      <c r="C416" s="26" t="s">
        <v>576</v>
      </c>
      <c r="D416" s="26" t="str">
        <f t="shared" si="8"/>
        <v>Тип Экскаваторы-погрузчики</v>
      </c>
      <c r="E416" s="8" t="s">
        <v>438</v>
      </c>
      <c r="F416" s="26"/>
      <c r="G416" s="38"/>
      <c r="H416" s="32"/>
      <c r="I416" s="32"/>
      <c r="J416" s="28">
        <f>9.2</f>
        <v>9.1999999999999993</v>
      </c>
      <c r="K416" s="28">
        <f>9.2</f>
        <v>9.1999999999999993</v>
      </c>
      <c r="L416" s="28"/>
      <c r="M416" s="28"/>
      <c r="N416" s="28"/>
      <c r="O416" s="31"/>
    </row>
    <row r="417" spans="1:15" ht="11.45" customHeight="1">
      <c r="A417" s="31"/>
      <c r="B417" s="26"/>
      <c r="C417" s="26" t="s">
        <v>577</v>
      </c>
      <c r="D417" s="26" t="str">
        <f t="shared" si="8"/>
        <v>Тип Экскаваторы-погрузчики</v>
      </c>
      <c r="E417" s="8" t="s">
        <v>438</v>
      </c>
      <c r="F417" s="26"/>
      <c r="G417" s="26"/>
      <c r="H417" s="32"/>
      <c r="I417" s="26"/>
      <c r="J417" s="28">
        <v>6.1</v>
      </c>
      <c r="K417" s="28">
        <v>6.1</v>
      </c>
      <c r="L417" s="28"/>
      <c r="M417" s="28"/>
      <c r="N417" s="28"/>
      <c r="O417" s="31"/>
    </row>
    <row r="418" spans="1:15" ht="11.45" customHeight="1">
      <c r="C418" s="13" t="s">
        <v>578</v>
      </c>
      <c r="D418" s="8" t="str">
        <f t="shared" si="8"/>
        <v>Тип Экскаваторы колёсные</v>
      </c>
      <c r="E418" s="8" t="s">
        <v>423</v>
      </c>
      <c r="J418" s="29">
        <v>8</v>
      </c>
    </row>
    <row r="419" spans="1:15" ht="11.45" customHeight="1">
      <c r="C419" s="13" t="s">
        <v>579</v>
      </c>
      <c r="D419" s="13" t="str">
        <f t="shared" si="8"/>
        <v>Тип Краны автомобильные</v>
      </c>
      <c r="E419" s="8" t="s">
        <v>87</v>
      </c>
      <c r="J419" s="29">
        <v>8.8000000000000007</v>
      </c>
    </row>
    <row r="420" spans="1:15" ht="11.45" customHeight="1">
      <c r="A420" s="31">
        <v>726</v>
      </c>
      <c r="B420" s="26" t="s">
        <v>13</v>
      </c>
      <c r="C420" s="15" t="s">
        <v>580</v>
      </c>
      <c r="D420" s="8" t="str">
        <f t="shared" si="8"/>
        <v>Тип Экскаваторы-погрузчики</v>
      </c>
      <c r="E420" s="8" t="s">
        <v>438</v>
      </c>
      <c r="F420" s="8" t="s">
        <v>581</v>
      </c>
      <c r="G420" s="8"/>
      <c r="H420" s="9">
        <v>5</v>
      </c>
      <c r="I420" s="32">
        <v>5</v>
      </c>
      <c r="J420" s="10">
        <v>5</v>
      </c>
      <c r="K420" s="28">
        <v>5</v>
      </c>
      <c r="L420" s="28"/>
      <c r="M420" s="28"/>
      <c r="N420" s="28"/>
      <c r="O420" s="31">
        <v>2</v>
      </c>
    </row>
    <row r="421" spans="1:15" ht="11.45" customHeight="1">
      <c r="A421" s="31">
        <v>727</v>
      </c>
      <c r="B421" s="26" t="s">
        <v>13</v>
      </c>
      <c r="C421" s="27" t="s">
        <v>582</v>
      </c>
      <c r="D421" s="8" t="str">
        <f t="shared" si="8"/>
        <v>Тип Экскаваторы-погрузчики</v>
      </c>
      <c r="E421" s="8" t="s">
        <v>438</v>
      </c>
      <c r="F421" s="26" t="s">
        <v>583</v>
      </c>
      <c r="G421" s="26"/>
      <c r="H421" s="32">
        <v>5.6</v>
      </c>
      <c r="I421" s="32">
        <v>5.6</v>
      </c>
      <c r="J421" s="28">
        <v>5.6</v>
      </c>
      <c r="K421" s="28">
        <v>5.6</v>
      </c>
      <c r="L421" s="28"/>
      <c r="M421" s="28"/>
      <c r="N421" s="28"/>
      <c r="O421" s="31">
        <v>1</v>
      </c>
    </row>
    <row r="422" spans="1:15" ht="11.45" customHeight="1">
      <c r="A422" s="31"/>
      <c r="B422" s="26"/>
      <c r="C422" s="27" t="s">
        <v>584</v>
      </c>
      <c r="D422" s="8" t="str">
        <f t="shared" si="8"/>
        <v>Тип Экскаваторы-погрузчики</v>
      </c>
      <c r="E422" s="8" t="s">
        <v>438</v>
      </c>
      <c r="F422" s="26" t="s">
        <v>583</v>
      </c>
      <c r="G422" s="26"/>
      <c r="H422" s="32">
        <v>5.6</v>
      </c>
      <c r="I422" s="32">
        <v>5.6</v>
      </c>
      <c r="J422" s="28">
        <v>5.6</v>
      </c>
      <c r="K422" s="28">
        <v>5.6</v>
      </c>
      <c r="L422" s="28"/>
      <c r="M422" s="28"/>
      <c r="N422" s="28"/>
      <c r="O422" s="31"/>
    </row>
    <row r="423" spans="1:15" ht="11.45" customHeight="1">
      <c r="C423" s="16" t="s">
        <v>585</v>
      </c>
      <c r="D423" s="13" t="str">
        <f t="shared" si="8"/>
        <v>Тип Краны автомобильные</v>
      </c>
      <c r="E423" s="8" t="s">
        <v>87</v>
      </c>
      <c r="J423" s="29">
        <v>8.8000000000000007</v>
      </c>
    </row>
    <row r="424" spans="1:15" ht="11.45" customHeight="1">
      <c r="C424" s="16" t="s">
        <v>586</v>
      </c>
      <c r="D424" s="13" t="str">
        <f t="shared" si="8"/>
        <v>Тип Краны автомобильные</v>
      </c>
      <c r="E424" s="8" t="s">
        <v>87</v>
      </c>
      <c r="J424" s="29">
        <v>8.8000000000000007</v>
      </c>
    </row>
    <row r="425" spans="1:15" ht="11.45" customHeight="1">
      <c r="C425" s="13" t="s">
        <v>587</v>
      </c>
      <c r="D425" s="13" t="str">
        <f t="shared" si="8"/>
        <v>Тип Краны гусеничные</v>
      </c>
      <c r="E425" s="8" t="s">
        <v>272</v>
      </c>
      <c r="J425" s="29">
        <v>7.5</v>
      </c>
    </row>
    <row r="426" spans="1:15" ht="11.45" hidden="1" customHeight="1">
      <c r="C426" s="16" t="s">
        <v>588</v>
      </c>
      <c r="D426" s="13" t="str">
        <f t="shared" si="8"/>
        <v>Тип Самосвалы</v>
      </c>
      <c r="E426" s="13" t="s">
        <v>383</v>
      </c>
    </row>
    <row r="427" spans="1:15" ht="11.45" customHeight="1">
      <c r="A427" s="31">
        <v>728</v>
      </c>
      <c r="B427" s="26" t="s">
        <v>13</v>
      </c>
      <c r="C427" s="26" t="s">
        <v>589</v>
      </c>
      <c r="D427" s="8" t="str">
        <f t="shared" si="8"/>
        <v>Тип Экскаваторы грейферные</v>
      </c>
      <c r="E427" s="8" t="s">
        <v>590</v>
      </c>
      <c r="F427" s="26" t="s">
        <v>591</v>
      </c>
      <c r="G427" s="39">
        <v>850</v>
      </c>
      <c r="H427" s="32">
        <v>6</v>
      </c>
      <c r="I427" s="32">
        <v>6</v>
      </c>
      <c r="J427" s="28">
        <v>6</v>
      </c>
      <c r="K427" s="28">
        <v>6</v>
      </c>
      <c r="L427" s="28"/>
      <c r="M427" s="28"/>
      <c r="N427" s="28"/>
      <c r="O427" s="31">
        <v>1</v>
      </c>
    </row>
    <row r="428" spans="1:15" ht="11.45" customHeight="1">
      <c r="C428" s="13" t="s">
        <v>592</v>
      </c>
      <c r="D428" s="13" t="str">
        <f t="shared" si="8"/>
        <v>Тип Краны автомобильные</v>
      </c>
      <c r="E428" s="8" t="s">
        <v>87</v>
      </c>
      <c r="J428" s="29">
        <v>8.8000000000000007</v>
      </c>
    </row>
    <row r="429" spans="1:15" ht="11.45" customHeight="1">
      <c r="C429" s="13" t="s">
        <v>593</v>
      </c>
      <c r="D429" s="13" t="str">
        <f t="shared" si="8"/>
        <v>Тип Краны автомобильные</v>
      </c>
      <c r="E429" s="8" t="s">
        <v>87</v>
      </c>
      <c r="J429" s="29">
        <v>8.8000000000000007</v>
      </c>
    </row>
    <row r="430" spans="1:15" ht="11.45" customHeight="1">
      <c r="C430" s="16" t="s">
        <v>594</v>
      </c>
      <c r="D430" s="13" t="str">
        <f t="shared" si="8"/>
        <v>Тип Краны автомобильные</v>
      </c>
      <c r="E430" s="8" t="s">
        <v>87</v>
      </c>
      <c r="J430" s="29">
        <v>8.8000000000000007</v>
      </c>
    </row>
    <row r="431" spans="1:15" ht="11.45" customHeight="1">
      <c r="C431" s="13" t="s">
        <v>595</v>
      </c>
      <c r="D431" s="13" t="str">
        <f t="shared" si="8"/>
        <v>Тип Краны автомобильные</v>
      </c>
      <c r="E431" s="8" t="s">
        <v>87</v>
      </c>
      <c r="J431" s="29">
        <v>8.8000000000000007</v>
      </c>
    </row>
    <row r="432" spans="1:15" ht="11.45" hidden="1" customHeight="1">
      <c r="C432" s="35" t="s">
        <v>596</v>
      </c>
      <c r="D432" s="8" t="str">
        <f t="shared" si="8"/>
        <v>Тип Электростанции</v>
      </c>
      <c r="E432" s="8" t="s">
        <v>219</v>
      </c>
      <c r="J432" s="24">
        <v>9.5</v>
      </c>
    </row>
    <row r="433" spans="1:15" ht="11.45" hidden="1" customHeight="1">
      <c r="A433" s="31"/>
      <c r="B433" s="26"/>
      <c r="C433" s="26" t="s">
        <v>597</v>
      </c>
      <c r="D433" s="8" t="str">
        <f t="shared" si="8"/>
        <v>Тип Электростанции</v>
      </c>
      <c r="E433" s="8" t="s">
        <v>219</v>
      </c>
      <c r="F433" s="26"/>
      <c r="G433" s="38"/>
      <c r="H433" s="32"/>
      <c r="I433" s="26"/>
      <c r="J433" s="10">
        <v>14</v>
      </c>
      <c r="K433" s="28">
        <v>14</v>
      </c>
      <c r="L433" s="28"/>
      <c r="M433" s="28"/>
      <c r="N433" s="28"/>
      <c r="O433" s="31"/>
    </row>
    <row r="434" spans="1:15" ht="11.45" hidden="1" customHeight="1">
      <c r="C434" s="26" t="s">
        <v>598</v>
      </c>
      <c r="D434" s="8" t="s">
        <v>368</v>
      </c>
      <c r="E434" s="8" t="s">
        <v>219</v>
      </c>
      <c r="J434" s="24">
        <v>12.5</v>
      </c>
      <c r="K434" s="29">
        <v>12.5</v>
      </c>
    </row>
    <row r="435" spans="1:15" ht="11.45" customHeight="1">
      <c r="C435" s="8" t="s">
        <v>599</v>
      </c>
      <c r="D435" s="13" t="str">
        <f t="shared" ref="D435:D462" si="9">CONCATENATE("Тип"," ",E435)</f>
        <v>Тип Экскаваторы гусеничные</v>
      </c>
      <c r="E435" s="8" t="s">
        <v>426</v>
      </c>
      <c r="J435" s="29">
        <v>20.5</v>
      </c>
    </row>
    <row r="436" spans="1:15" ht="11.45" customHeight="1">
      <c r="C436" s="16" t="s">
        <v>600</v>
      </c>
      <c r="D436" s="13" t="str">
        <f t="shared" si="9"/>
        <v>Тип Краны автомобильные</v>
      </c>
      <c r="E436" s="8" t="s">
        <v>87</v>
      </c>
      <c r="J436" s="14">
        <v>9.5</v>
      </c>
    </row>
    <row r="437" spans="1:15" ht="11.45" hidden="1" customHeight="1">
      <c r="C437" s="16" t="s">
        <v>601</v>
      </c>
      <c r="D437" s="13" t="str">
        <f>CONCATENATE("Тип"," ",E437)</f>
        <v>Тип Электростанции</v>
      </c>
      <c r="E437" s="13" t="s">
        <v>219</v>
      </c>
    </row>
    <row r="438" spans="1:15" ht="11.45" customHeight="1">
      <c r="C438" s="16" t="s">
        <v>602</v>
      </c>
      <c r="D438" s="13" t="str">
        <f t="shared" si="9"/>
        <v>Тип Краны гусеничные</v>
      </c>
      <c r="E438" s="8" t="s">
        <v>272</v>
      </c>
      <c r="J438" s="29">
        <v>6.5</v>
      </c>
    </row>
    <row r="439" spans="1:15" ht="11.45" hidden="1" customHeight="1">
      <c r="C439" s="13" t="s">
        <v>603</v>
      </c>
      <c r="D439" s="13" t="str">
        <f t="shared" si="9"/>
        <v>Тип Компрессоры</v>
      </c>
      <c r="E439" s="8" t="s">
        <v>259</v>
      </c>
      <c r="J439" s="14">
        <v>15</v>
      </c>
    </row>
    <row r="440" spans="1:15" ht="11.45" hidden="1" customHeight="1">
      <c r="C440" s="13" t="s">
        <v>604</v>
      </c>
      <c r="D440" s="13" t="str">
        <f t="shared" si="9"/>
        <v>Тип Компрессоры</v>
      </c>
      <c r="E440" s="8" t="s">
        <v>259</v>
      </c>
      <c r="J440" s="14">
        <v>10</v>
      </c>
    </row>
    <row r="441" spans="1:15" ht="11.45" hidden="1" customHeight="1">
      <c r="C441" s="13" t="s">
        <v>605</v>
      </c>
      <c r="D441" s="13" t="str">
        <f t="shared" si="9"/>
        <v>Тип Электростанции</v>
      </c>
      <c r="E441" s="8" t="s">
        <v>219</v>
      </c>
      <c r="J441" s="10">
        <v>9.5</v>
      </c>
    </row>
    <row r="442" spans="1:15" ht="11.45" customHeight="1">
      <c r="C442" s="13" t="s">
        <v>606</v>
      </c>
      <c r="D442" s="13" t="str">
        <f t="shared" si="9"/>
        <v>Тип Краны гусеничные</v>
      </c>
      <c r="E442" s="8" t="s">
        <v>272</v>
      </c>
      <c r="J442" s="29">
        <v>10</v>
      </c>
    </row>
    <row r="443" spans="1:15" ht="11.45" customHeight="1">
      <c r="C443" s="16" t="s">
        <v>607</v>
      </c>
      <c r="D443" s="13" t="str">
        <f t="shared" si="9"/>
        <v>Тип Бульдозеры</v>
      </c>
      <c r="E443" s="8" t="s">
        <v>204</v>
      </c>
      <c r="J443" s="14">
        <v>15</v>
      </c>
    </row>
    <row r="444" spans="1:15" ht="11.45" hidden="1" customHeight="1">
      <c r="C444" s="13" t="s">
        <v>608</v>
      </c>
      <c r="D444" s="13" t="str">
        <f t="shared" si="9"/>
        <v>Тип Катки дорожные</v>
      </c>
      <c r="E444" s="13" t="s">
        <v>239</v>
      </c>
      <c r="J444" s="29">
        <v>4.2</v>
      </c>
    </row>
    <row r="445" spans="1:15" ht="11.45" hidden="1" customHeight="1">
      <c r="C445" s="13" t="s">
        <v>609</v>
      </c>
      <c r="D445" s="13" t="str">
        <f t="shared" si="9"/>
        <v>Тип Катки дорожные</v>
      </c>
      <c r="E445" s="13" t="s">
        <v>239</v>
      </c>
      <c r="J445" s="29">
        <v>5.2</v>
      </c>
    </row>
    <row r="446" spans="1:15" ht="11.45" hidden="1" customHeight="1">
      <c r="C446" s="13" t="s">
        <v>610</v>
      </c>
      <c r="D446" s="13" t="str">
        <f t="shared" si="9"/>
        <v>Тип Краны железнодорожные</v>
      </c>
      <c r="E446" s="13" t="s">
        <v>301</v>
      </c>
    </row>
    <row r="447" spans="1:15" ht="11.45" hidden="1" customHeight="1">
      <c r="C447" s="13" t="s">
        <v>611</v>
      </c>
      <c r="D447" s="13" t="str">
        <f t="shared" si="9"/>
        <v>Тип Краны железнодорожные</v>
      </c>
      <c r="E447" s="13" t="s">
        <v>301</v>
      </c>
    </row>
    <row r="448" spans="1:15" ht="11.45" hidden="1" customHeight="1">
      <c r="C448" s="13" t="s">
        <v>612</v>
      </c>
      <c r="D448" s="13" t="str">
        <f t="shared" si="9"/>
        <v>Тип Краны железнодорожные</v>
      </c>
      <c r="E448" s="13" t="s">
        <v>301</v>
      </c>
    </row>
    <row r="449" spans="3:11" ht="11.45" hidden="1" customHeight="1">
      <c r="C449" s="40" t="s">
        <v>613</v>
      </c>
      <c r="D449" s="13" t="str">
        <f t="shared" si="9"/>
        <v>Тип Катки дорожные</v>
      </c>
      <c r="E449" s="13" t="s">
        <v>239</v>
      </c>
    </row>
    <row r="450" spans="3:11" ht="11.45" hidden="1" customHeight="1">
      <c r="C450" s="16" t="s">
        <v>614</v>
      </c>
      <c r="D450" s="13" t="str">
        <f t="shared" si="9"/>
        <v>Тип Седельные тягачи</v>
      </c>
      <c r="E450" s="13" t="s">
        <v>363</v>
      </c>
      <c r="J450" s="29">
        <v>22</v>
      </c>
    </row>
    <row r="451" spans="3:11" ht="11.45" customHeight="1">
      <c r="C451" s="16" t="s">
        <v>615</v>
      </c>
      <c r="D451" s="8" t="str">
        <f t="shared" si="9"/>
        <v>Тип Экскаваторы колёсные</v>
      </c>
      <c r="E451" s="8" t="s">
        <v>423</v>
      </c>
      <c r="J451" s="29">
        <v>12.5</v>
      </c>
    </row>
    <row r="452" spans="3:11" ht="11.45" customHeight="1">
      <c r="C452" s="16" t="s">
        <v>616</v>
      </c>
      <c r="D452" s="8" t="str">
        <f t="shared" si="9"/>
        <v>Тип Погрузчики тракторные</v>
      </c>
      <c r="E452" s="8" t="s">
        <v>344</v>
      </c>
      <c r="J452" s="29">
        <v>10</v>
      </c>
    </row>
    <row r="453" spans="3:11" ht="11.45" customHeight="1">
      <c r="C453" s="16" t="s">
        <v>617</v>
      </c>
      <c r="D453" s="13" t="str">
        <f t="shared" si="9"/>
        <v>Тип Краны автомобильные</v>
      </c>
      <c r="E453" s="8" t="s">
        <v>87</v>
      </c>
      <c r="J453" s="14">
        <v>8.8000000000000007</v>
      </c>
    </row>
    <row r="454" spans="3:11" ht="11.45" customHeight="1">
      <c r="C454" s="16" t="s">
        <v>618</v>
      </c>
      <c r="D454" s="8" t="str">
        <f t="shared" si="9"/>
        <v>Тип Экскаваторы-погрузчики</v>
      </c>
      <c r="E454" s="8" t="s">
        <v>438</v>
      </c>
      <c r="F454" s="8" t="s">
        <v>581</v>
      </c>
      <c r="G454" s="8"/>
      <c r="H454" s="9">
        <v>5</v>
      </c>
      <c r="I454" s="32">
        <v>5</v>
      </c>
      <c r="J454" s="10">
        <v>5</v>
      </c>
      <c r="K454" s="28">
        <v>5</v>
      </c>
    </row>
    <row r="455" spans="3:11" ht="11.45" customHeight="1">
      <c r="C455" s="16" t="s">
        <v>619</v>
      </c>
      <c r="D455" s="8" t="str">
        <f t="shared" si="9"/>
        <v>Тип Краны пневмоколёсные</v>
      </c>
      <c r="E455" s="8" t="s">
        <v>312</v>
      </c>
      <c r="J455" s="14">
        <v>15</v>
      </c>
    </row>
    <row r="456" spans="3:11" ht="11.45" customHeight="1">
      <c r="C456" s="16" t="s">
        <v>620</v>
      </c>
      <c r="D456" s="13" t="str">
        <f t="shared" si="9"/>
        <v>Тип Краны автомобильные</v>
      </c>
      <c r="E456" s="8" t="s">
        <v>87</v>
      </c>
      <c r="J456" s="29">
        <v>12</v>
      </c>
    </row>
    <row r="457" spans="3:11" ht="11.45" customHeight="1">
      <c r="C457" s="16" t="s">
        <v>621</v>
      </c>
      <c r="D457" s="8" t="str">
        <f t="shared" si="9"/>
        <v>Тип Бульдозеры</v>
      </c>
      <c r="E457" s="8" t="s">
        <v>204</v>
      </c>
      <c r="J457" s="29">
        <v>14</v>
      </c>
    </row>
    <row r="458" spans="3:11" ht="11.45" customHeight="1">
      <c r="C458" s="16" t="s">
        <v>622</v>
      </c>
      <c r="D458" s="13" t="str">
        <f t="shared" si="9"/>
        <v>Тип Краны автомобильные</v>
      </c>
      <c r="E458" s="8" t="s">
        <v>87</v>
      </c>
      <c r="J458" s="29">
        <v>8.8000000000000007</v>
      </c>
    </row>
    <row r="459" spans="3:11" ht="11.45" customHeight="1">
      <c r="C459" s="16" t="s">
        <v>623</v>
      </c>
      <c r="D459" s="8" t="str">
        <f t="shared" si="9"/>
        <v>Тип Бульдозеры</v>
      </c>
      <c r="E459" s="8" t="s">
        <v>204</v>
      </c>
      <c r="J459" s="29">
        <v>16.2</v>
      </c>
    </row>
    <row r="460" spans="3:11" ht="11.45" customHeight="1">
      <c r="C460" s="16" t="s">
        <v>624</v>
      </c>
      <c r="D460" s="13" t="str">
        <f t="shared" si="9"/>
        <v>Тип Краны автомобильные</v>
      </c>
      <c r="E460" s="8" t="s">
        <v>87</v>
      </c>
      <c r="J460" s="29">
        <v>8.8000000000000007</v>
      </c>
    </row>
    <row r="461" spans="3:11" ht="11.45" customHeight="1">
      <c r="C461" s="16" t="s">
        <v>625</v>
      </c>
      <c r="D461" s="13" t="str">
        <f t="shared" si="9"/>
        <v>Тип Экскаваторы гусеничные</v>
      </c>
      <c r="E461" s="8" t="s">
        <v>426</v>
      </c>
      <c r="J461" s="29">
        <v>16.399999999999999</v>
      </c>
    </row>
    <row r="462" spans="3:11" ht="11.45" hidden="1" customHeight="1">
      <c r="C462" s="16" t="s">
        <v>626</v>
      </c>
      <c r="D462" s="8" t="str">
        <f t="shared" si="9"/>
        <v>Тип Установки буровые</v>
      </c>
      <c r="E462" s="8" t="s">
        <v>324</v>
      </c>
      <c r="J462" s="14">
        <v>11.7</v>
      </c>
    </row>
    <row r="463" spans="3:11" ht="11.45" customHeight="1">
      <c r="C463" s="16" t="s">
        <v>627</v>
      </c>
      <c r="D463" s="13" t="s">
        <v>628</v>
      </c>
      <c r="E463" s="8" t="s">
        <v>87</v>
      </c>
      <c r="H463" s="29">
        <v>8.8000000000000007</v>
      </c>
      <c r="J463" s="29">
        <v>8.8000000000000007</v>
      </c>
    </row>
    <row r="464" spans="3:11" ht="11.45" customHeight="1">
      <c r="C464" s="16" t="s">
        <v>629</v>
      </c>
      <c r="D464" s="8" t="str">
        <f>CONCATENATE("Тип"," ",E464)</f>
        <v>Тип Экскаваторы-погрузчики</v>
      </c>
      <c r="E464" s="8" t="s">
        <v>438</v>
      </c>
      <c r="J464" s="10">
        <v>5</v>
      </c>
    </row>
    <row r="465" spans="3:10" ht="11.45" customHeight="1">
      <c r="C465" s="16" t="s">
        <v>630</v>
      </c>
      <c r="D465" s="13" t="str">
        <f>CONCATENATE("Тип"," ",E465)</f>
        <v>Тип Погрузчики тракторные</v>
      </c>
      <c r="E465" s="8" t="s">
        <v>344</v>
      </c>
      <c r="J465" s="29">
        <v>18</v>
      </c>
    </row>
    <row r="466" spans="3:10" ht="11.45" hidden="1" customHeight="1">
      <c r="C466" s="16" t="s">
        <v>631</v>
      </c>
      <c r="D466" s="13" t="s">
        <v>632</v>
      </c>
      <c r="E466" s="13" t="s">
        <v>550</v>
      </c>
      <c r="H466" s="29"/>
      <c r="J466" s="29">
        <v>5</v>
      </c>
    </row>
    <row r="467" spans="3:10" ht="11.45" hidden="1" customHeight="1">
      <c r="C467" s="13" t="s">
        <v>633</v>
      </c>
      <c r="D467" s="13" t="str">
        <f t="shared" ref="D467:D475" si="10">CONCATENATE("Тип"," ",E467)</f>
        <v>Тип Самосвалы</v>
      </c>
      <c r="E467" s="13" t="s">
        <v>383</v>
      </c>
      <c r="J467" s="29">
        <v>22.5</v>
      </c>
    </row>
    <row r="468" spans="3:10" ht="11.45" hidden="1" customHeight="1">
      <c r="C468" s="13" t="s">
        <v>633</v>
      </c>
      <c r="D468" s="13" t="str">
        <f t="shared" si="10"/>
        <v>Тип Самосвалы</v>
      </c>
      <c r="E468" s="13" t="s">
        <v>383</v>
      </c>
      <c r="J468" s="29">
        <v>22.5</v>
      </c>
    </row>
    <row r="469" spans="3:10" ht="11.45" hidden="1" customHeight="1">
      <c r="C469" s="13" t="s">
        <v>634</v>
      </c>
      <c r="D469" s="13" t="str">
        <f t="shared" si="10"/>
        <v>Тип Седельные тягачи</v>
      </c>
      <c r="E469" s="13" t="s">
        <v>363</v>
      </c>
      <c r="J469" s="29">
        <v>33</v>
      </c>
    </row>
    <row r="470" spans="3:10" ht="11.45" hidden="1" customHeight="1">
      <c r="C470" s="13" t="s">
        <v>635</v>
      </c>
      <c r="D470" s="13" t="str">
        <f t="shared" si="10"/>
        <v>Тип Седельные тягачи</v>
      </c>
      <c r="E470" s="13" t="s">
        <v>363</v>
      </c>
      <c r="J470" s="29">
        <v>33</v>
      </c>
    </row>
    <row r="471" spans="3:10" ht="11.45" hidden="1" customHeight="1">
      <c r="C471" s="13" t="s">
        <v>636</v>
      </c>
      <c r="D471" s="13" t="str">
        <f t="shared" si="10"/>
        <v>Тип Электростанции</v>
      </c>
      <c r="E471" s="13" t="s">
        <v>219</v>
      </c>
      <c r="J471" s="10">
        <v>14</v>
      </c>
    </row>
    <row r="472" spans="3:10" ht="11.45" hidden="1" customHeight="1">
      <c r="C472" s="13" t="s">
        <v>637</v>
      </c>
      <c r="D472" s="13" t="str">
        <f t="shared" si="10"/>
        <v>Тип Электростанции</v>
      </c>
      <c r="E472" s="13" t="s">
        <v>219</v>
      </c>
      <c r="J472" s="29">
        <v>3.9</v>
      </c>
    </row>
    <row r="473" spans="3:10" ht="11.45" hidden="1" customHeight="1">
      <c r="C473" s="13" t="s">
        <v>636</v>
      </c>
      <c r="D473" s="13" t="str">
        <f t="shared" si="10"/>
        <v>Тип Электростанции</v>
      </c>
      <c r="E473" s="13" t="s">
        <v>219</v>
      </c>
      <c r="J473" s="10">
        <v>14</v>
      </c>
    </row>
    <row r="474" spans="3:10" ht="11.45" hidden="1" customHeight="1">
      <c r="C474" s="13" t="s">
        <v>638</v>
      </c>
      <c r="D474" s="13" t="str">
        <f t="shared" si="10"/>
        <v>Тип Электростанции</v>
      </c>
      <c r="E474" s="13" t="s">
        <v>219</v>
      </c>
      <c r="J474" s="29">
        <v>16</v>
      </c>
    </row>
    <row r="475" spans="3:10" ht="11.45" hidden="1" customHeight="1">
      <c r="C475" s="13" t="s">
        <v>639</v>
      </c>
      <c r="D475" s="13" t="str">
        <f t="shared" si="10"/>
        <v>Тип Электростанции</v>
      </c>
      <c r="E475" s="13" t="s">
        <v>219</v>
      </c>
      <c r="J475" s="10">
        <v>14</v>
      </c>
    </row>
    <row r="476" spans="3:10" ht="11.45" hidden="1" customHeight="1">
      <c r="C476" s="13" t="s">
        <v>640</v>
      </c>
      <c r="D476" s="13" t="str">
        <f>CONCATENATE("Тип"," ",E476)</f>
        <v>Тип Электростанции</v>
      </c>
      <c r="E476" s="13" t="s">
        <v>219</v>
      </c>
      <c r="J476" s="29">
        <v>9</v>
      </c>
    </row>
    <row r="477" spans="3:10" ht="11.45" customHeight="1">
      <c r="C477" s="16" t="s">
        <v>641</v>
      </c>
      <c r="D477" s="13" t="s">
        <v>628</v>
      </c>
      <c r="E477" s="8" t="s">
        <v>87</v>
      </c>
      <c r="H477" s="29">
        <v>8.8000000000000007</v>
      </c>
      <c r="J477" s="29">
        <v>8.8000000000000007</v>
      </c>
    </row>
    <row r="478" spans="3:10" ht="11.45" customHeight="1">
      <c r="C478" s="13" t="s">
        <v>642</v>
      </c>
      <c r="D478" s="13" t="s">
        <v>628</v>
      </c>
      <c r="E478" s="8" t="s">
        <v>87</v>
      </c>
      <c r="H478" s="29">
        <v>8.8000000000000007</v>
      </c>
      <c r="J478" s="29">
        <v>8.8000000000000007</v>
      </c>
    </row>
    <row r="479" spans="3:10" ht="11.45" customHeight="1">
      <c r="C479" s="16" t="s">
        <v>643</v>
      </c>
      <c r="D479" s="13" t="s">
        <v>628</v>
      </c>
      <c r="E479" s="8" t="s">
        <v>87</v>
      </c>
      <c r="H479" s="29">
        <v>8.8000000000000007</v>
      </c>
      <c r="J479" s="29">
        <v>8.8000000000000007</v>
      </c>
    </row>
    <row r="480" spans="3:10" ht="11.45" customHeight="1">
      <c r="C480" s="16" t="s">
        <v>644</v>
      </c>
      <c r="D480" s="13" t="str">
        <f t="shared" ref="D480:D529" si="11">CONCATENATE("Тип"," ",E480)</f>
        <v>Тип Экскаваторы гусеничные</v>
      </c>
      <c r="E480" s="8" t="s">
        <v>426</v>
      </c>
      <c r="J480" s="29">
        <v>16.399999999999999</v>
      </c>
    </row>
    <row r="481" spans="3:10" ht="11.45" customHeight="1">
      <c r="C481" s="13" t="s">
        <v>645</v>
      </c>
      <c r="D481" s="8" t="str">
        <f t="shared" si="11"/>
        <v>Тип Бульдозеры</v>
      </c>
      <c r="E481" s="8" t="s">
        <v>204</v>
      </c>
      <c r="J481" s="29">
        <v>15</v>
      </c>
    </row>
    <row r="482" spans="3:10" ht="11.45" hidden="1" customHeight="1">
      <c r="C482" s="37" t="s">
        <v>646</v>
      </c>
      <c r="D482" s="13" t="str">
        <f t="shared" si="11"/>
        <v>Тип Автогрейдеры</v>
      </c>
      <c r="E482" s="13" t="s">
        <v>537</v>
      </c>
      <c r="J482" s="29">
        <v>12</v>
      </c>
    </row>
    <row r="483" spans="3:10" ht="11.45" hidden="1" customHeight="1">
      <c r="C483" s="13" t="s">
        <v>647</v>
      </c>
      <c r="D483" s="13" t="str">
        <f t="shared" si="11"/>
        <v>Тип Катки грунтовые</v>
      </c>
      <c r="E483" s="13" t="s">
        <v>550</v>
      </c>
      <c r="J483" s="29">
        <v>7</v>
      </c>
    </row>
    <row r="484" spans="3:10" ht="11.45" hidden="1" customHeight="1">
      <c r="C484" s="13" t="s">
        <v>648</v>
      </c>
      <c r="D484" s="13" t="str">
        <f t="shared" si="11"/>
        <v>Тип Катки грунтовые</v>
      </c>
      <c r="E484" s="13" t="s">
        <v>550</v>
      </c>
      <c r="J484" s="29">
        <v>7</v>
      </c>
    </row>
    <row r="485" spans="3:10" ht="11.45" hidden="1" customHeight="1">
      <c r="C485" s="13" t="s">
        <v>649</v>
      </c>
      <c r="D485" s="13" t="str">
        <f t="shared" si="11"/>
        <v>Тип Катки грунтовые</v>
      </c>
      <c r="E485" s="13" t="s">
        <v>550</v>
      </c>
      <c r="J485" s="29">
        <v>7</v>
      </c>
    </row>
    <row r="486" spans="3:10" ht="11.45" hidden="1" customHeight="1">
      <c r="C486" s="13" t="s">
        <v>650</v>
      </c>
      <c r="D486" s="13" t="str">
        <f t="shared" si="11"/>
        <v>Тип Автогрейдеры</v>
      </c>
      <c r="E486" s="13" t="s">
        <v>537</v>
      </c>
      <c r="J486" s="29">
        <v>9</v>
      </c>
    </row>
    <row r="487" spans="3:10" ht="11.45" hidden="1" customHeight="1">
      <c r="C487" s="16" t="s">
        <v>651</v>
      </c>
      <c r="D487" s="13" t="str">
        <f t="shared" si="11"/>
        <v>Тип Самосвалы</v>
      </c>
      <c r="E487" s="13" t="s">
        <v>383</v>
      </c>
      <c r="J487" s="29">
        <v>22.5</v>
      </c>
    </row>
    <row r="488" spans="3:10" ht="11.45" hidden="1" customHeight="1">
      <c r="C488" s="16" t="s">
        <v>651</v>
      </c>
      <c r="D488" s="13" t="str">
        <f t="shared" si="11"/>
        <v>Тип Самосвалы</v>
      </c>
      <c r="E488" s="13" t="s">
        <v>383</v>
      </c>
      <c r="J488" s="29">
        <v>22.5</v>
      </c>
    </row>
    <row r="489" spans="3:10" ht="11.45" hidden="1" customHeight="1">
      <c r="C489" s="16" t="s">
        <v>652</v>
      </c>
      <c r="D489" s="13" t="str">
        <f t="shared" si="11"/>
        <v>Тип Автогрейдеры</v>
      </c>
      <c r="E489" s="13" t="s">
        <v>537</v>
      </c>
      <c r="J489" s="29">
        <v>12</v>
      </c>
    </row>
    <row r="490" spans="3:10" ht="11.45" hidden="1" customHeight="1">
      <c r="C490" s="16" t="s">
        <v>653</v>
      </c>
      <c r="D490" s="13" t="str">
        <f t="shared" si="11"/>
        <v>Тип Катки дорожный</v>
      </c>
      <c r="E490" s="13" t="s">
        <v>654</v>
      </c>
      <c r="J490" s="29">
        <v>7</v>
      </c>
    </row>
    <row r="491" spans="3:10" ht="11.45" hidden="1" customHeight="1">
      <c r="C491" s="16" t="s">
        <v>655</v>
      </c>
      <c r="D491" s="13" t="str">
        <f t="shared" si="11"/>
        <v>Тип Электростанции</v>
      </c>
      <c r="E491" s="13" t="s">
        <v>219</v>
      </c>
      <c r="J491" s="10">
        <v>25</v>
      </c>
    </row>
    <row r="492" spans="3:10" ht="11.45" hidden="1" customHeight="1">
      <c r="C492" s="16" t="s">
        <v>656</v>
      </c>
      <c r="D492" s="13" t="str">
        <f t="shared" si="11"/>
        <v>Тип Автогрейдеры</v>
      </c>
      <c r="E492" s="13" t="s">
        <v>537</v>
      </c>
      <c r="J492" s="29">
        <v>12</v>
      </c>
    </row>
    <row r="493" spans="3:10" ht="11.45" customHeight="1">
      <c r="C493" s="16" t="s">
        <v>657</v>
      </c>
      <c r="D493" s="8" t="str">
        <f t="shared" si="11"/>
        <v>Тип Бульдозеры</v>
      </c>
      <c r="E493" s="8" t="s">
        <v>204</v>
      </c>
      <c r="J493" s="29">
        <v>17</v>
      </c>
    </row>
    <row r="494" spans="3:10" ht="11.45" hidden="1" customHeight="1">
      <c r="C494" s="16" t="s">
        <v>658</v>
      </c>
      <c r="D494" s="8" t="str">
        <f t="shared" si="11"/>
        <v>Тип Самосвалы</v>
      </c>
      <c r="E494" s="13" t="s">
        <v>383</v>
      </c>
      <c r="J494" s="29">
        <v>22.5</v>
      </c>
    </row>
    <row r="495" spans="3:10" ht="11.45" customHeight="1">
      <c r="C495" s="13" t="s">
        <v>659</v>
      </c>
      <c r="D495" s="8" t="str">
        <f t="shared" si="11"/>
        <v>Тип Краны пневмоколёсные</v>
      </c>
      <c r="E495" s="8" t="s">
        <v>312</v>
      </c>
      <c r="J495" s="29">
        <v>7</v>
      </c>
    </row>
    <row r="496" spans="3:10" ht="11.45" hidden="1" customHeight="1">
      <c r="C496" s="13" t="s">
        <v>660</v>
      </c>
      <c r="D496" s="13" t="str">
        <f t="shared" si="11"/>
        <v>Тип Катки грунтовые</v>
      </c>
      <c r="E496" s="13" t="s">
        <v>550</v>
      </c>
      <c r="J496" s="29">
        <v>7</v>
      </c>
    </row>
    <row r="497" spans="3:10" ht="11.45" customHeight="1">
      <c r="C497" s="13" t="s">
        <v>661</v>
      </c>
      <c r="D497" s="13" t="str">
        <f t="shared" si="11"/>
        <v>Тип Погрузчики тракторные</v>
      </c>
      <c r="E497" s="13" t="s">
        <v>344</v>
      </c>
      <c r="J497" s="29" t="s">
        <v>662</v>
      </c>
    </row>
    <row r="498" spans="3:10" ht="11.45" hidden="1" customHeight="1">
      <c r="C498" s="13" t="s">
        <v>663</v>
      </c>
      <c r="D498" s="13" t="str">
        <f t="shared" si="11"/>
        <v>Тип Катки грунтовые</v>
      </c>
      <c r="E498" s="13" t="s">
        <v>550</v>
      </c>
      <c r="J498" s="29">
        <v>7</v>
      </c>
    </row>
    <row r="499" spans="3:10" ht="11.45" hidden="1" customHeight="1">
      <c r="C499" s="13" t="s">
        <v>664</v>
      </c>
      <c r="D499" s="13" t="str">
        <f t="shared" si="11"/>
        <v>Тип Электростанции</v>
      </c>
      <c r="E499" s="13" t="s">
        <v>219</v>
      </c>
      <c r="J499" s="29">
        <v>14</v>
      </c>
    </row>
    <row r="500" spans="3:10" ht="11.45" hidden="1" customHeight="1">
      <c r="C500" s="13" t="s">
        <v>665</v>
      </c>
      <c r="D500" s="13" t="str">
        <f t="shared" si="11"/>
        <v>Тип Катки грунтовые</v>
      </c>
      <c r="E500" s="13" t="s">
        <v>550</v>
      </c>
      <c r="J500" s="29">
        <v>7</v>
      </c>
    </row>
    <row r="501" spans="3:10" ht="11.45" hidden="1" customHeight="1">
      <c r="C501" s="16" t="s">
        <v>666</v>
      </c>
      <c r="D501" s="13" t="str">
        <f t="shared" si="11"/>
        <v>Тип Асфальтоукладчики</v>
      </c>
      <c r="E501" s="13" t="s">
        <v>139</v>
      </c>
      <c r="J501" s="29">
        <v>12</v>
      </c>
    </row>
    <row r="502" spans="3:10" ht="11.45" hidden="1" customHeight="1">
      <c r="C502" s="16" t="s">
        <v>667</v>
      </c>
      <c r="D502" s="13" t="str">
        <f t="shared" si="11"/>
        <v>Тип Тракторы колесные</v>
      </c>
      <c r="E502" s="13" t="s">
        <v>417</v>
      </c>
      <c r="J502" s="29">
        <v>6</v>
      </c>
    </row>
    <row r="503" spans="3:10" ht="11.45" hidden="1" customHeight="1">
      <c r="C503" s="13" t="s">
        <v>668</v>
      </c>
      <c r="D503" s="13" t="str">
        <f t="shared" si="11"/>
        <v>Тип Катки грунтовые</v>
      </c>
      <c r="E503" s="13" t="s">
        <v>550</v>
      </c>
      <c r="J503" s="29">
        <v>7</v>
      </c>
    </row>
    <row r="504" spans="3:10" ht="11.45" hidden="1" customHeight="1">
      <c r="C504" s="16" t="s">
        <v>669</v>
      </c>
      <c r="D504" s="13" t="str">
        <f t="shared" si="11"/>
        <v>Тип Автобетоносмесители</v>
      </c>
      <c r="E504" s="8" t="s">
        <v>15</v>
      </c>
      <c r="J504" s="29">
        <v>9.8000000000000007</v>
      </c>
    </row>
    <row r="505" spans="3:10" ht="11.45" customHeight="1">
      <c r="C505" s="13" t="s">
        <v>670</v>
      </c>
      <c r="D505" s="13" t="str">
        <f t="shared" si="11"/>
        <v>Тип Экскаваторы гусеничные</v>
      </c>
      <c r="E505" s="8" t="s">
        <v>426</v>
      </c>
      <c r="J505" s="29">
        <v>10</v>
      </c>
    </row>
    <row r="506" spans="3:10" ht="11.45" hidden="1" customHeight="1">
      <c r="C506" s="13" t="s">
        <v>671</v>
      </c>
      <c r="D506" s="13" t="str">
        <f t="shared" si="11"/>
        <v>Тип Автобетоносмесители</v>
      </c>
      <c r="E506" s="8" t="s">
        <v>15</v>
      </c>
      <c r="J506" s="29">
        <v>8.8000000000000007</v>
      </c>
    </row>
    <row r="507" spans="3:10" ht="11.45" hidden="1" customHeight="1">
      <c r="C507" s="16" t="s">
        <v>672</v>
      </c>
      <c r="D507" s="13" t="str">
        <f t="shared" si="11"/>
        <v>Тип Седельные тягачи</v>
      </c>
      <c r="E507" s="13" t="s">
        <v>363</v>
      </c>
      <c r="J507" s="29">
        <v>38</v>
      </c>
    </row>
    <row r="508" spans="3:10" ht="11.45" hidden="1" customHeight="1">
      <c r="C508" s="13" t="s">
        <v>673</v>
      </c>
      <c r="D508" s="13" t="str">
        <f t="shared" si="11"/>
        <v>Тип Автобетоносмесители</v>
      </c>
      <c r="E508" s="8" t="s">
        <v>15</v>
      </c>
      <c r="J508" s="29">
        <v>8.8000000000000007</v>
      </c>
    </row>
    <row r="509" spans="3:10" ht="11.45" hidden="1" customHeight="1">
      <c r="C509" s="16" t="s">
        <v>674</v>
      </c>
      <c r="D509" s="13" t="str">
        <f t="shared" si="11"/>
        <v>Тип Тракторы колесные</v>
      </c>
      <c r="E509" s="13" t="s">
        <v>417</v>
      </c>
      <c r="J509" s="29">
        <v>6</v>
      </c>
    </row>
    <row r="510" spans="3:10" ht="11.45" hidden="1" customHeight="1">
      <c r="C510" s="16" t="s">
        <v>675</v>
      </c>
      <c r="D510" s="13" t="str">
        <f t="shared" si="11"/>
        <v>Тип Автобетоносмесители</v>
      </c>
      <c r="E510" s="8" t="s">
        <v>15</v>
      </c>
      <c r="J510" s="29">
        <v>9.8000000000000007</v>
      </c>
    </row>
    <row r="511" spans="3:10" ht="11.45" hidden="1" customHeight="1">
      <c r="C511" s="16" t="s">
        <v>676</v>
      </c>
      <c r="D511" s="13" t="str">
        <f t="shared" si="11"/>
        <v>Тип Автобетоносмесители</v>
      </c>
      <c r="E511" s="8" t="s">
        <v>15</v>
      </c>
      <c r="J511" s="29">
        <v>9.8000000000000007</v>
      </c>
    </row>
    <row r="512" spans="3:10" ht="11.45" hidden="1" customHeight="1">
      <c r="C512" s="16" t="s">
        <v>677</v>
      </c>
      <c r="D512" s="13" t="str">
        <f t="shared" si="11"/>
        <v>Тип Автобетоносмесители</v>
      </c>
      <c r="E512" s="8" t="s">
        <v>15</v>
      </c>
      <c r="J512" s="29">
        <v>9</v>
      </c>
    </row>
    <row r="513" spans="3:11" ht="11.45" hidden="1" customHeight="1">
      <c r="C513" s="13" t="s">
        <v>678</v>
      </c>
      <c r="D513" s="13" t="str">
        <f t="shared" si="11"/>
        <v>Тип Компрессоры</v>
      </c>
      <c r="E513" s="13" t="s">
        <v>259</v>
      </c>
      <c r="J513" s="29">
        <v>9.4</v>
      </c>
    </row>
    <row r="514" spans="3:11" ht="11.45" hidden="1" customHeight="1">
      <c r="C514" s="16" t="s">
        <v>679</v>
      </c>
      <c r="D514" s="13" t="str">
        <f t="shared" si="11"/>
        <v>Тип Электростанции</v>
      </c>
      <c r="E514" s="13" t="s">
        <v>219</v>
      </c>
      <c r="J514" s="29">
        <v>2.5</v>
      </c>
    </row>
    <row r="515" spans="3:11" ht="11.45" hidden="1" customHeight="1">
      <c r="C515" s="16" t="s">
        <v>680</v>
      </c>
      <c r="D515" s="13" t="str">
        <f t="shared" si="11"/>
        <v>Тип Электростанции</v>
      </c>
      <c r="E515" s="13" t="s">
        <v>219</v>
      </c>
      <c r="J515" s="29">
        <v>6.5</v>
      </c>
    </row>
    <row r="516" spans="3:11" ht="11.45" hidden="1" customHeight="1">
      <c r="C516" s="16" t="s">
        <v>681</v>
      </c>
      <c r="D516" s="13" t="str">
        <f t="shared" si="11"/>
        <v>Тип Электростанции</v>
      </c>
      <c r="E516" s="13" t="s">
        <v>219</v>
      </c>
      <c r="J516" s="29">
        <v>9.5</v>
      </c>
    </row>
    <row r="517" spans="3:11" ht="11.45" customHeight="1">
      <c r="C517" s="16" t="s">
        <v>682</v>
      </c>
      <c r="D517" s="26" t="str">
        <f t="shared" si="11"/>
        <v>Тип Экскаваторы-погрузчики</v>
      </c>
      <c r="E517" s="8" t="s">
        <v>438</v>
      </c>
      <c r="F517" s="26"/>
      <c r="G517" s="26"/>
      <c r="H517" s="32"/>
      <c r="I517" s="26"/>
      <c r="J517" s="28">
        <v>6.1</v>
      </c>
      <c r="K517" s="28">
        <v>6.1</v>
      </c>
    </row>
    <row r="518" spans="3:11" ht="11.45" hidden="1" customHeight="1">
      <c r="C518" s="16" t="s">
        <v>683</v>
      </c>
      <c r="D518" s="13" t="str">
        <f t="shared" si="11"/>
        <v>Тип Электростанции</v>
      </c>
      <c r="E518" s="13" t="s">
        <v>219</v>
      </c>
      <c r="J518" s="29">
        <v>9.5</v>
      </c>
    </row>
    <row r="519" spans="3:11" ht="11.45" hidden="1" customHeight="1">
      <c r="C519" s="16" t="s">
        <v>684</v>
      </c>
      <c r="D519" s="13" t="str">
        <f t="shared" si="11"/>
        <v>Тип Компрессоры</v>
      </c>
      <c r="E519" s="13" t="s">
        <v>259</v>
      </c>
      <c r="J519" s="29">
        <v>9.4</v>
      </c>
    </row>
    <row r="520" spans="3:11" ht="11.45" hidden="1" customHeight="1">
      <c r="C520" s="16" t="s">
        <v>685</v>
      </c>
      <c r="D520" s="13" t="str">
        <f t="shared" si="11"/>
        <v>Тип Электростанции</v>
      </c>
      <c r="E520" s="13" t="s">
        <v>219</v>
      </c>
      <c r="J520" s="29">
        <v>6</v>
      </c>
    </row>
    <row r="521" spans="3:11" ht="11.45" customHeight="1">
      <c r="C521" s="16" t="s">
        <v>686</v>
      </c>
      <c r="D521" s="13" t="str">
        <f t="shared" si="11"/>
        <v>Тип Экскаваторы гусеничные</v>
      </c>
      <c r="E521" s="8" t="s">
        <v>426</v>
      </c>
      <c r="J521" s="29">
        <v>16.399999999999999</v>
      </c>
    </row>
    <row r="522" spans="3:11" ht="11.45" hidden="1" customHeight="1">
      <c r="C522" s="16" t="s">
        <v>685</v>
      </c>
      <c r="D522" s="13" t="str">
        <f t="shared" si="11"/>
        <v>Тип Электростанции</v>
      </c>
      <c r="E522" s="13" t="s">
        <v>219</v>
      </c>
      <c r="J522" s="29">
        <v>6</v>
      </c>
    </row>
    <row r="523" spans="3:11" ht="11.45" customHeight="1">
      <c r="C523" s="16" t="s">
        <v>686</v>
      </c>
      <c r="D523" s="8" t="str">
        <f t="shared" si="11"/>
        <v>Тип Экскаваторы гусеничные</v>
      </c>
      <c r="E523" s="8" t="s">
        <v>426</v>
      </c>
      <c r="J523" s="29">
        <v>16.399999999999999</v>
      </c>
    </row>
    <row r="524" spans="3:11" ht="11.45" hidden="1" customHeight="1">
      <c r="C524" s="16" t="s">
        <v>687</v>
      </c>
      <c r="D524" s="13" t="str">
        <f t="shared" si="11"/>
        <v>Тип Компрессоры</v>
      </c>
      <c r="E524" s="13" t="s">
        <v>259</v>
      </c>
      <c r="J524" s="29">
        <v>9.4</v>
      </c>
    </row>
    <row r="525" spans="3:11" ht="11.45" customHeight="1">
      <c r="C525" s="16" t="s">
        <v>688</v>
      </c>
      <c r="D525" s="8" t="str">
        <f t="shared" si="11"/>
        <v>Тип Экскаваторы колёсные</v>
      </c>
      <c r="E525" s="8" t="s">
        <v>423</v>
      </c>
      <c r="J525" s="29">
        <v>12.5</v>
      </c>
    </row>
    <row r="526" spans="3:11" ht="11.45" hidden="1" customHeight="1">
      <c r="C526" s="16" t="s">
        <v>689</v>
      </c>
      <c r="D526" s="13" t="str">
        <f t="shared" si="11"/>
        <v>Тип Электростанции</v>
      </c>
      <c r="E526" s="13" t="s">
        <v>219</v>
      </c>
      <c r="J526" s="29">
        <v>16</v>
      </c>
    </row>
    <row r="527" spans="3:11" ht="11.45" customHeight="1">
      <c r="C527" s="13" t="s">
        <v>690</v>
      </c>
      <c r="D527" s="8" t="str">
        <f t="shared" si="11"/>
        <v>Тип Экскаваторы колёсные</v>
      </c>
      <c r="E527" s="8" t="s">
        <v>423</v>
      </c>
      <c r="J527" s="29">
        <v>12</v>
      </c>
    </row>
    <row r="528" spans="3:11" ht="11.45" customHeight="1">
      <c r="C528" s="41" t="s">
        <v>691</v>
      </c>
      <c r="D528" s="8" t="str">
        <f t="shared" si="11"/>
        <v>Тип Экскаваторы гусеничные</v>
      </c>
      <c r="E528" s="8" t="s">
        <v>426</v>
      </c>
      <c r="J528" s="29">
        <v>22</v>
      </c>
    </row>
    <row r="529" spans="3:10" ht="11.45" customHeight="1">
      <c r="C529" s="41" t="s">
        <v>692</v>
      </c>
      <c r="D529" s="8" t="str">
        <f t="shared" si="11"/>
        <v>Тип Экскаваторы гусеничные</v>
      </c>
      <c r="E529" s="8" t="s">
        <v>426</v>
      </c>
      <c r="J529" s="29">
        <v>16.399999999999999</v>
      </c>
    </row>
    <row r="530" spans="3:10" ht="11.45" customHeight="1">
      <c r="C530" s="16" t="s">
        <v>693</v>
      </c>
      <c r="D530" s="13" t="s">
        <v>694</v>
      </c>
      <c r="E530" s="13" t="s">
        <v>204</v>
      </c>
      <c r="J530" s="29">
        <v>15.5</v>
      </c>
    </row>
    <row r="531" spans="3:10" ht="11.45" customHeight="1">
      <c r="C531" s="16" t="s">
        <v>695</v>
      </c>
      <c r="D531" s="8" t="str">
        <f t="shared" ref="D531:D532" si="12">CONCATENATE("Тип"," ",E531)</f>
        <v>Тип Экскаваторы гусеничные</v>
      </c>
      <c r="E531" s="8" t="s">
        <v>426</v>
      </c>
      <c r="J531" s="29">
        <v>16.399999999999999</v>
      </c>
    </row>
    <row r="532" spans="3:10" ht="11.45" hidden="1" customHeight="1">
      <c r="C532" s="16" t="s">
        <v>696</v>
      </c>
      <c r="D532" s="13" t="str">
        <f t="shared" si="12"/>
        <v>Тип Самосвалы</v>
      </c>
      <c r="E532" s="13" t="s">
        <v>383</v>
      </c>
    </row>
    <row r="533" spans="3:10" ht="11.45" customHeight="1">
      <c r="C533" s="40" t="s">
        <v>697</v>
      </c>
      <c r="D533" s="13" t="s">
        <v>487</v>
      </c>
      <c r="E533" s="13" t="s">
        <v>272</v>
      </c>
      <c r="J533" s="29">
        <v>8</v>
      </c>
    </row>
    <row r="534" spans="3:10" ht="11.45" customHeight="1">
      <c r="C534" s="16" t="s">
        <v>698</v>
      </c>
      <c r="D534" s="13" t="str">
        <f t="shared" ref="D534:D543" si="13">CONCATENATE("Тип"," ",E534)</f>
        <v>Тип Погрузчики тракторные</v>
      </c>
      <c r="E534" s="13" t="s">
        <v>344</v>
      </c>
    </row>
    <row r="535" spans="3:10" ht="11.45" customHeight="1">
      <c r="C535" s="16" t="s">
        <v>699</v>
      </c>
      <c r="D535" s="13" t="str">
        <f t="shared" si="13"/>
        <v>Тип Экскаваторы гусеничные</v>
      </c>
      <c r="E535" s="8" t="s">
        <v>426</v>
      </c>
      <c r="J535" s="29">
        <v>16.399999999999999</v>
      </c>
    </row>
    <row r="536" spans="3:10" ht="11.45" customHeight="1">
      <c r="C536" s="16" t="s">
        <v>700</v>
      </c>
      <c r="D536" s="13" t="str">
        <f t="shared" si="13"/>
        <v>Тип Краны автомобильные</v>
      </c>
      <c r="E536" s="8" t="s">
        <v>87</v>
      </c>
      <c r="J536" s="29">
        <v>8.8000000000000007</v>
      </c>
    </row>
    <row r="537" spans="3:10" ht="11.45" customHeight="1">
      <c r="C537" s="16" t="s">
        <v>700</v>
      </c>
      <c r="D537" s="13" t="str">
        <f t="shared" si="13"/>
        <v>Тип Краны автомобильные</v>
      </c>
      <c r="E537" s="8" t="s">
        <v>87</v>
      </c>
      <c r="J537" s="29">
        <v>8.8000000000000007</v>
      </c>
    </row>
    <row r="538" spans="3:10" ht="11.45" hidden="1" customHeight="1">
      <c r="C538" s="16" t="s">
        <v>701</v>
      </c>
      <c r="D538" s="13" t="str">
        <f t="shared" si="13"/>
        <v>Тип Установки сваебойные</v>
      </c>
      <c r="E538" s="8" t="s">
        <v>341</v>
      </c>
      <c r="J538" s="14">
        <v>16.5</v>
      </c>
    </row>
    <row r="539" spans="3:10" ht="11.45" customHeight="1">
      <c r="C539" s="16" t="s">
        <v>702</v>
      </c>
      <c r="D539" s="13" t="str">
        <f t="shared" si="13"/>
        <v>Тип Экскаваторы гусеничные</v>
      </c>
      <c r="E539" s="8" t="s">
        <v>426</v>
      </c>
      <c r="J539" s="29">
        <v>16.399999999999999</v>
      </c>
    </row>
    <row r="540" spans="3:10" ht="11.45" customHeight="1">
      <c r="C540" s="16" t="s">
        <v>703</v>
      </c>
      <c r="D540" s="13" t="str">
        <f t="shared" si="13"/>
        <v>Тип Краны автомобильные</v>
      </c>
      <c r="E540" s="8" t="s">
        <v>87</v>
      </c>
      <c r="J540" s="29">
        <v>7</v>
      </c>
    </row>
    <row r="541" spans="3:10" ht="11.45" hidden="1" customHeight="1">
      <c r="C541" s="16" t="s">
        <v>704</v>
      </c>
      <c r="D541" s="13" t="str">
        <f t="shared" si="13"/>
        <v>Тип Автогрейдеры</v>
      </c>
      <c r="E541" s="13" t="s">
        <v>537</v>
      </c>
    </row>
    <row r="542" spans="3:10" ht="11.45" customHeight="1">
      <c r="C542" s="16" t="s">
        <v>705</v>
      </c>
      <c r="D542" s="13" t="str">
        <f t="shared" si="13"/>
        <v>Тип Экскаваторы гусеничные</v>
      </c>
      <c r="E542" s="8" t="s">
        <v>426</v>
      </c>
      <c r="J542" s="29">
        <v>16.399999999999999</v>
      </c>
    </row>
    <row r="543" spans="3:10" ht="11.45" customHeight="1">
      <c r="C543" s="16" t="s">
        <v>706</v>
      </c>
      <c r="D543" s="13" t="str">
        <f t="shared" si="13"/>
        <v>Тип Экскаваторы гусеничные</v>
      </c>
      <c r="E543" s="8" t="s">
        <v>426</v>
      </c>
      <c r="J543" s="29">
        <v>16.399999999999999</v>
      </c>
    </row>
  </sheetData>
  <protectedRanges>
    <protectedRange sqref="C191" name="Диапазон1_8"/>
    <protectedRange sqref="C341" name="Диапазон1_7_1"/>
    <protectedRange sqref="C342" name="Диапазон1_9_1"/>
    <protectedRange sqref="C343" name="Диапазон1_10_1"/>
    <protectedRange sqref="C344" name="Диапазон1_11_1"/>
    <protectedRange sqref="C345" name="Диапазон1_12_1"/>
    <protectedRange sqref="C346" name="Диапазон1_13_1"/>
    <protectedRange sqref="C347" name="Диапазон1_14_1"/>
    <protectedRange sqref="C348" name="Диапазон1_15_1"/>
    <protectedRange sqref="C350" name="Диапазон1_16_1"/>
    <protectedRange sqref="C351" name="Диапазон1_17_1"/>
    <protectedRange sqref="C352" name="Диапазон1_19_1"/>
    <protectedRange sqref="C353" name="Диапазон1_18_1"/>
    <protectedRange sqref="C355" name="Диапазон1_20"/>
    <protectedRange sqref="C356" name="Диапазон1_23"/>
    <protectedRange sqref="C357" name="Диапазон1_24"/>
    <protectedRange sqref="C360" name="Диапазон1_25"/>
    <protectedRange sqref="C361" name="Диапазон1_26"/>
    <protectedRange sqref="C362" name="Диапазон1_27"/>
    <protectedRange sqref="C363" name="Диапазон1_29"/>
    <protectedRange sqref="C364" name="Диапазон1_31"/>
    <protectedRange sqref="C365" name="Диапазон1_33"/>
    <protectedRange sqref="C366" name="Диапазон1_34"/>
    <protectedRange sqref="C367" name="Диапазон1_36"/>
    <protectedRange sqref="C368" name="Диапазон1_37"/>
    <protectedRange sqref="C369" name="Диапазон1_38"/>
    <protectedRange sqref="C370" name="Диапазон1_39"/>
    <protectedRange sqref="C371" name="Диапазон1_40"/>
    <protectedRange sqref="C372" name="Диапазон1_4_1"/>
    <protectedRange sqref="C373" name="Диапазон1_21"/>
    <protectedRange sqref="C374" name="Диапазон1_22"/>
    <protectedRange sqref="C375" name="Диапазон1_7"/>
    <protectedRange sqref="C376" name="Диапазон1_9"/>
    <protectedRange sqref="C377" name="Диапазон1_10"/>
    <protectedRange sqref="C378" name="Диапазон1_13"/>
    <protectedRange sqref="C379" name="Диапазон1_11"/>
    <protectedRange sqref="C380" name="Диапазон1"/>
    <protectedRange sqref="C381" name="Диапазон1_4"/>
    <protectedRange sqref="C382" name="Диапазон1_12"/>
    <protectedRange sqref="C383" name="Диапазон1_14"/>
    <protectedRange sqref="C384" name="Диапазон1_15"/>
    <protectedRange sqref="C385" name="Диапазон1_16"/>
    <protectedRange sqref="C386" name="Диапазон1_17"/>
    <protectedRange sqref="C387" name="Диапазон1_18"/>
    <protectedRange sqref="C388" name="Диапазон1_19"/>
    <protectedRange sqref="C389" name="Диапазон1_28"/>
    <protectedRange sqref="C390" name="Диапазон1_30"/>
    <protectedRange sqref="C395" name="Диапазон1_32"/>
    <protectedRange sqref="C399" name="Диапазон1_2"/>
    <protectedRange sqref="C400" name="Диапазон1_35"/>
    <protectedRange sqref="C401" name="Диапазон1_41"/>
    <protectedRange sqref="C402" name="Диапазон1_42"/>
    <protectedRange sqref="C403" name="Диапазон1_43"/>
    <protectedRange sqref="C404" name="Диапазон1_44"/>
    <protectedRange sqref="C405" name="Диапазон1_45"/>
    <protectedRange sqref="C406" name="Диапазон1_46"/>
    <protectedRange sqref="C407" name="Диапазон1_47"/>
    <protectedRange sqref="C409" name="Диапазон1_1"/>
    <protectedRange sqref="C410" name="Диапазон1_49"/>
    <protectedRange sqref="C420" name="Диапазон1_50"/>
    <protectedRange sqref="C86" name="Диапазон1_51"/>
    <protectedRange sqref="C421:C422" name="Диапазон1_52"/>
    <protectedRange sqref="C423" name="Диапазон1_48"/>
    <protectedRange sqref="C424" name="Диапазон1_53"/>
    <protectedRange sqref="C426" name="Диапазон1_54"/>
    <protectedRange sqref="C436" name="Диапазон1_55"/>
    <protectedRange sqref="C437" name="Диапазон1_56"/>
    <protectedRange sqref="C438" name="Диапазон1_57"/>
    <protectedRange sqref="C443" name="Диапазон1_58"/>
    <protectedRange sqref="C450" name="Диапазон1_59"/>
    <protectedRange sqref="C451" name="Диапазон1_64"/>
    <protectedRange sqref="C411" name="Диапазон1_65"/>
    <protectedRange sqref="C452" name="Диапазон1_66"/>
    <protectedRange sqref="C453" name="Диапазон1_68"/>
    <protectedRange sqref="C454" name="Диапазон1_70"/>
    <protectedRange sqref="C455:C456" name="Диапазон1_72"/>
    <protectedRange sqref="C457:C458" name="Диапазон1_74"/>
    <protectedRange sqref="C459" name="Диапазон1_3"/>
    <protectedRange sqref="C460" name="Диапазон1_60"/>
    <protectedRange sqref="C461" name="Диапазон1_61"/>
    <protectedRange sqref="C462" name="Диапазон1_62"/>
    <protectedRange sqref="C463" name="Диапазон1_63"/>
    <protectedRange sqref="C464" name="Диапазон1_67"/>
    <protectedRange sqref="C465" name="Диапазон1_69"/>
    <protectedRange sqref="B411" name="Диапазон1_71"/>
    <protectedRange sqref="C466" name="Диапазон1_73"/>
    <protectedRange sqref="C477" name="Диапазон1_75"/>
    <protectedRange sqref="C430" name="Диапазон1_76"/>
    <protectedRange sqref="C479" name="Диапазон1_77"/>
    <protectedRange sqref="C480" name="Диапазон1_78"/>
    <protectedRange sqref="C487:C488" name="Диапазон1_79"/>
    <protectedRange sqref="C489" name="Диапазон1_80"/>
    <protectedRange sqref="C491" name="Диапазон1_82"/>
    <protectedRange sqref="C490" name="Диапазон1_83"/>
    <protectedRange sqref="C492:C493" name="Диапазон1_84"/>
    <protectedRange sqref="C494" name="Диапазон1_81"/>
    <protectedRange sqref="C501" name="Диапазон1_85"/>
    <protectedRange sqref="C502" name="Диапазон1_86"/>
    <protectedRange sqref="C504" name="Диапазон1_87"/>
    <protectedRange sqref="C507" name="Диапазон1_88"/>
    <protectedRange sqref="C509" name="Диапазон1_90"/>
    <protectedRange sqref="C522" name="Диапазон1_5"/>
    <protectedRange sqref="C523" name="Диапазон1_89"/>
    <protectedRange sqref="C524" name="Диапазон1_91"/>
    <protectedRange sqref="C525" name="Диапазон1_92"/>
    <protectedRange sqref="C526" name="Диапазон1_93"/>
  </protectedRanges>
  <autoFilter ref="A1:E543" xr:uid="{3BDF2F09-C2AD-4303-901D-09BA8A851823}">
    <filterColumn colId="4">
      <filters>
        <filter val="Бульдозеры"/>
        <filter val="Краны автомобильные"/>
        <filter val="Краны гусеничные"/>
        <filter val="Краны пневмоколёсные"/>
        <filter val="Погрузчики тракторные"/>
        <filter val="Экскаваторы грейферные"/>
        <filter val="Экскаваторы гусеничные"/>
        <filter val="Экскаваторы колёсные"/>
        <filter val="Экскаваторы-погрузчики"/>
      </filters>
    </filterColumn>
  </autoFilter>
  <pageMargins left="0.75" right="1" top="0.75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B48FA-34C5-4F91-BEBC-553E1FD3DFFD}">
  <dimension ref="A2:B196"/>
  <sheetViews>
    <sheetView topLeftCell="A112" workbookViewId="0">
      <selection activeCell="F121" sqref="F121"/>
    </sheetView>
  </sheetViews>
  <sheetFormatPr defaultRowHeight="15"/>
  <cols>
    <col min="1" max="1" width="43.140625" bestFit="1" customWidth="1"/>
  </cols>
  <sheetData>
    <row r="2" spans="1:2" ht="38.25">
      <c r="A2" s="2">
        <v>18</v>
      </c>
      <c r="B2" s="3" t="s">
        <v>7</v>
      </c>
    </row>
    <row r="3" spans="1:2">
      <c r="A3" s="8" t="s">
        <v>86</v>
      </c>
      <c r="B3" s="14">
        <v>9</v>
      </c>
    </row>
    <row r="4" spans="1:2">
      <c r="A4" s="8" t="s">
        <v>90</v>
      </c>
      <c r="B4" s="14">
        <v>13</v>
      </c>
    </row>
    <row r="5" spans="1:2">
      <c r="A5" s="8" t="s">
        <v>92</v>
      </c>
      <c r="B5" s="10">
        <v>14.1</v>
      </c>
    </row>
    <row r="6" spans="1:2">
      <c r="A6" s="8" t="s">
        <v>94</v>
      </c>
      <c r="B6" s="14">
        <v>16</v>
      </c>
    </row>
    <row r="7" spans="1:2">
      <c r="A7" s="8" t="s">
        <v>96</v>
      </c>
      <c r="B7" s="10">
        <v>13.4</v>
      </c>
    </row>
    <row r="8" spans="1:2">
      <c r="A8" s="8" t="s">
        <v>98</v>
      </c>
      <c r="B8" s="14">
        <v>7.8</v>
      </c>
    </row>
    <row r="9" spans="1:2">
      <c r="A9" s="15" t="s">
        <v>100</v>
      </c>
      <c r="B9" s="14">
        <v>8.8000000000000007</v>
      </c>
    </row>
    <row r="10" spans="1:2">
      <c r="A10" s="8" t="s">
        <v>101</v>
      </c>
      <c r="B10" s="14">
        <v>8.8000000000000007</v>
      </c>
    </row>
    <row r="11" spans="1:2">
      <c r="A11" s="8" t="s">
        <v>102</v>
      </c>
      <c r="B11" s="14">
        <v>6</v>
      </c>
    </row>
    <row r="12" spans="1:2">
      <c r="A12" s="8" t="s">
        <v>103</v>
      </c>
      <c r="B12" s="14">
        <v>8</v>
      </c>
    </row>
    <row r="13" spans="1:2">
      <c r="A13" s="8" t="s">
        <v>104</v>
      </c>
      <c r="B13" s="14">
        <v>7.8</v>
      </c>
    </row>
    <row r="14" spans="1:2">
      <c r="A14" s="8" t="s">
        <v>106</v>
      </c>
      <c r="B14" s="14">
        <v>6.7</v>
      </c>
    </row>
    <row r="15" spans="1:2">
      <c r="A15" s="8" t="s">
        <v>107</v>
      </c>
      <c r="B15" s="14">
        <v>8</v>
      </c>
    </row>
    <row r="16" spans="1:2">
      <c r="A16" s="8" t="s">
        <v>109</v>
      </c>
      <c r="B16" s="14">
        <v>9</v>
      </c>
    </row>
    <row r="17" spans="1:2">
      <c r="A17" s="8" t="s">
        <v>111</v>
      </c>
      <c r="B17" s="14">
        <v>8.8000000000000007</v>
      </c>
    </row>
    <row r="18" spans="1:2">
      <c r="A18" s="8" t="s">
        <v>112</v>
      </c>
      <c r="B18" s="14">
        <v>8.8000000000000007</v>
      </c>
    </row>
    <row r="19" spans="1:2">
      <c r="A19" s="8" t="s">
        <v>113</v>
      </c>
      <c r="B19" s="14">
        <v>8.8000000000000007</v>
      </c>
    </row>
    <row r="20" spans="1:2">
      <c r="A20" s="8" t="s">
        <v>116</v>
      </c>
      <c r="B20" s="14">
        <v>8.8000000000000007</v>
      </c>
    </row>
    <row r="21" spans="1:2">
      <c r="A21" s="8" t="s">
        <v>117</v>
      </c>
      <c r="B21" s="14">
        <v>8.8000000000000007</v>
      </c>
    </row>
    <row r="22" spans="1:2">
      <c r="A22" s="8" t="s">
        <v>118</v>
      </c>
      <c r="B22" s="14">
        <v>8.8000000000000007</v>
      </c>
    </row>
    <row r="23" spans="1:2">
      <c r="A23" s="8" t="s">
        <v>119</v>
      </c>
      <c r="B23" s="14">
        <v>7.6</v>
      </c>
    </row>
    <row r="24" spans="1:2">
      <c r="A24" s="8" t="s">
        <v>120</v>
      </c>
      <c r="B24" s="14">
        <v>7.6</v>
      </c>
    </row>
    <row r="25" spans="1:2">
      <c r="A25" s="8" t="s">
        <v>121</v>
      </c>
      <c r="B25" s="9">
        <v>8.8000000000000007</v>
      </c>
    </row>
    <row r="26" spans="1:2">
      <c r="A26" s="8" t="s">
        <v>122</v>
      </c>
      <c r="B26" s="14">
        <v>8.8000000000000007</v>
      </c>
    </row>
    <row r="27" spans="1:2">
      <c r="A27" s="8" t="s">
        <v>123</v>
      </c>
      <c r="B27" s="14">
        <v>7.6</v>
      </c>
    </row>
    <row r="28" spans="1:2">
      <c r="A28" s="16" t="s">
        <v>124</v>
      </c>
      <c r="B28" s="14">
        <v>7.6</v>
      </c>
    </row>
    <row r="29" spans="1:2">
      <c r="A29" s="8" t="s">
        <v>125</v>
      </c>
      <c r="B29" s="14">
        <v>7.6</v>
      </c>
    </row>
    <row r="30" spans="1:2">
      <c r="A30" s="16" t="s">
        <v>126</v>
      </c>
      <c r="B30" s="14">
        <v>7.6</v>
      </c>
    </row>
    <row r="31" spans="1:2">
      <c r="A31" s="8" t="s">
        <v>127</v>
      </c>
      <c r="B31" s="14">
        <v>7.6</v>
      </c>
    </row>
    <row r="32" spans="1:2">
      <c r="A32" s="8" t="s">
        <v>128</v>
      </c>
      <c r="B32" s="14">
        <v>7.6</v>
      </c>
    </row>
    <row r="33" spans="1:2">
      <c r="A33" s="8" t="s">
        <v>129</v>
      </c>
      <c r="B33" s="14">
        <v>7.6</v>
      </c>
    </row>
    <row r="34" spans="1:2">
      <c r="A34" s="8" t="s">
        <v>130</v>
      </c>
      <c r="B34" s="10">
        <v>19</v>
      </c>
    </row>
    <row r="35" spans="1:2">
      <c r="A35" s="17" t="s">
        <v>203</v>
      </c>
      <c r="B35" s="14">
        <v>15</v>
      </c>
    </row>
    <row r="36" spans="1:2">
      <c r="A36" s="8" t="s">
        <v>205</v>
      </c>
      <c r="B36" s="14">
        <v>17.399999999999999</v>
      </c>
    </row>
    <row r="37" spans="1:2">
      <c r="A37" s="8" t="s">
        <v>206</v>
      </c>
      <c r="B37" s="14">
        <v>17.399999999999999</v>
      </c>
    </row>
    <row r="38" spans="1:2">
      <c r="A38" s="8" t="s">
        <v>208</v>
      </c>
      <c r="B38" s="14">
        <v>18.2</v>
      </c>
    </row>
    <row r="39" spans="1:2">
      <c r="A39" s="8" t="s">
        <v>209</v>
      </c>
      <c r="B39" s="10">
        <v>21.6</v>
      </c>
    </row>
    <row r="40" spans="1:2">
      <c r="A40" s="8" t="s">
        <v>271</v>
      </c>
      <c r="B40" s="14">
        <v>8.3000000000000007</v>
      </c>
    </row>
    <row r="41" spans="1:2">
      <c r="A41" s="8" t="s">
        <v>275</v>
      </c>
      <c r="B41" s="14">
        <v>10.1</v>
      </c>
    </row>
    <row r="42" spans="1:2">
      <c r="A42" s="8" t="s">
        <v>277</v>
      </c>
      <c r="B42" s="14">
        <v>10.1</v>
      </c>
    </row>
    <row r="43" spans="1:2">
      <c r="A43" s="8" t="s">
        <v>279</v>
      </c>
      <c r="B43" s="14">
        <v>10.1</v>
      </c>
    </row>
    <row r="44" spans="1:2">
      <c r="A44" s="8" t="s">
        <v>280</v>
      </c>
      <c r="B44" s="10">
        <v>10</v>
      </c>
    </row>
    <row r="45" spans="1:2">
      <c r="A45" s="8" t="s">
        <v>282</v>
      </c>
      <c r="B45" s="10">
        <v>5.4</v>
      </c>
    </row>
    <row r="46" spans="1:2">
      <c r="A46" s="8" t="s">
        <v>284</v>
      </c>
      <c r="B46" s="14">
        <v>13.5</v>
      </c>
    </row>
    <row r="47" spans="1:2">
      <c r="A47" s="8" t="s">
        <v>285</v>
      </c>
      <c r="B47" s="14">
        <v>8.5</v>
      </c>
    </row>
    <row r="48" spans="1:2">
      <c r="A48" s="8" t="s">
        <v>286</v>
      </c>
      <c r="B48" s="14">
        <v>11</v>
      </c>
    </row>
    <row r="49" spans="1:2">
      <c r="A49" s="8" t="s">
        <v>288</v>
      </c>
      <c r="B49" s="14">
        <v>8.8000000000000007</v>
      </c>
    </row>
    <row r="50" spans="1:2">
      <c r="A50" s="8" t="s">
        <v>291</v>
      </c>
      <c r="B50" s="14">
        <v>11.1</v>
      </c>
    </row>
    <row r="51" spans="1:2">
      <c r="A51" s="8" t="s">
        <v>293</v>
      </c>
      <c r="B51" s="14">
        <v>19.2</v>
      </c>
    </row>
    <row r="52" spans="1:2">
      <c r="A52" s="8" t="s">
        <v>295</v>
      </c>
      <c r="B52" s="14">
        <v>9</v>
      </c>
    </row>
    <row r="53" spans="1:2">
      <c r="A53" s="8" t="s">
        <v>296</v>
      </c>
      <c r="B53" s="14">
        <v>11</v>
      </c>
    </row>
    <row r="54" spans="1:2">
      <c r="A54" s="8" t="s">
        <v>297</v>
      </c>
      <c r="B54" s="14">
        <v>9.3000000000000007</v>
      </c>
    </row>
    <row r="55" spans="1:2">
      <c r="A55" s="8" t="s">
        <v>298</v>
      </c>
      <c r="B55" s="14">
        <v>8.5</v>
      </c>
    </row>
    <row r="56" spans="1:2">
      <c r="A56" s="8" t="s">
        <v>298</v>
      </c>
      <c r="B56" s="14">
        <v>20</v>
      </c>
    </row>
    <row r="57" spans="1:2">
      <c r="A57" s="8" t="s">
        <v>299</v>
      </c>
      <c r="B57" s="14">
        <v>20</v>
      </c>
    </row>
    <row r="58" spans="1:2">
      <c r="A58" s="8" t="s">
        <v>311</v>
      </c>
      <c r="B58" s="10">
        <v>11.2</v>
      </c>
    </row>
    <row r="59" spans="1:2">
      <c r="A59" s="8" t="s">
        <v>314</v>
      </c>
      <c r="B59" s="10">
        <v>11.2</v>
      </c>
    </row>
    <row r="60" spans="1:2">
      <c r="A60" s="8" t="s">
        <v>315</v>
      </c>
      <c r="B60" s="14">
        <v>15</v>
      </c>
    </row>
    <row r="61" spans="1:2">
      <c r="A61" s="8" t="s">
        <v>317</v>
      </c>
      <c r="B61" s="14">
        <v>9</v>
      </c>
    </row>
    <row r="62" spans="1:2">
      <c r="A62" s="8" t="s">
        <v>343</v>
      </c>
      <c r="B62" s="14">
        <v>6</v>
      </c>
    </row>
    <row r="63" spans="1:2">
      <c r="A63" s="8" t="s">
        <v>346</v>
      </c>
      <c r="B63" s="14">
        <v>13.2</v>
      </c>
    </row>
    <row r="64" spans="1:2">
      <c r="A64" s="8" t="s">
        <v>347</v>
      </c>
      <c r="B64" s="14">
        <v>8</v>
      </c>
    </row>
    <row r="65" spans="1:2">
      <c r="A65" s="23" t="s">
        <v>349</v>
      </c>
      <c r="B65" s="14">
        <v>6.4</v>
      </c>
    </row>
    <row r="66" spans="1:2">
      <c r="A66" s="23" t="s">
        <v>351</v>
      </c>
      <c r="B66" s="24">
        <v>3</v>
      </c>
    </row>
    <row r="67" spans="1:2">
      <c r="A67" s="8" t="s">
        <v>352</v>
      </c>
      <c r="B67" s="14">
        <v>6.4</v>
      </c>
    </row>
    <row r="68" spans="1:2">
      <c r="A68" s="8" t="s">
        <v>354</v>
      </c>
      <c r="B68" s="14">
        <v>7</v>
      </c>
    </row>
    <row r="69" spans="1:2">
      <c r="A69" s="23" t="s">
        <v>356</v>
      </c>
      <c r="B69" s="24">
        <v>6.5</v>
      </c>
    </row>
    <row r="70" spans="1:2">
      <c r="A70" s="23" t="s">
        <v>357</v>
      </c>
      <c r="B70" s="24">
        <v>15.6</v>
      </c>
    </row>
    <row r="71" spans="1:2">
      <c r="A71" s="8" t="s">
        <v>358</v>
      </c>
      <c r="B71" s="10">
        <v>9.1</v>
      </c>
    </row>
    <row r="72" spans="1:2">
      <c r="A72" s="8" t="s">
        <v>359</v>
      </c>
      <c r="B72" s="10">
        <v>11.3</v>
      </c>
    </row>
    <row r="73" spans="1:2">
      <c r="A73" s="8" t="s">
        <v>361</v>
      </c>
      <c r="B73" s="14">
        <v>6</v>
      </c>
    </row>
    <row r="74" spans="1:2">
      <c r="A74" s="8" t="s">
        <v>422</v>
      </c>
      <c r="B74" s="10">
        <v>14</v>
      </c>
    </row>
    <row r="75" spans="1:2">
      <c r="A75" s="8" t="s">
        <v>425</v>
      </c>
      <c r="B75" s="10">
        <v>14.9</v>
      </c>
    </row>
    <row r="76" spans="1:2">
      <c r="A76" s="8" t="s">
        <v>428</v>
      </c>
      <c r="B76" s="10">
        <v>12.6</v>
      </c>
    </row>
    <row r="77" spans="1:2">
      <c r="A77" s="8" t="s">
        <v>429</v>
      </c>
      <c r="B77" s="10">
        <v>7</v>
      </c>
    </row>
    <row r="78" spans="1:2">
      <c r="A78" s="8" t="s">
        <v>431</v>
      </c>
      <c r="B78" s="10">
        <v>13</v>
      </c>
    </row>
    <row r="79" spans="1:2">
      <c r="A79" s="8" t="s">
        <v>433</v>
      </c>
      <c r="B79" s="10">
        <v>17.399999999999999</v>
      </c>
    </row>
    <row r="80" spans="1:2">
      <c r="A80" s="8" t="s">
        <v>434</v>
      </c>
      <c r="B80" s="10">
        <v>13.8</v>
      </c>
    </row>
    <row r="81" spans="1:2">
      <c r="A81" s="8" t="s">
        <v>436</v>
      </c>
      <c r="B81" s="14">
        <v>14</v>
      </c>
    </row>
    <row r="82" spans="1:2">
      <c r="A82" s="8" t="s">
        <v>437</v>
      </c>
      <c r="B82" s="10">
        <v>6.1</v>
      </c>
    </row>
    <row r="83" spans="1:2">
      <c r="A83" s="8" t="s">
        <v>440</v>
      </c>
      <c r="B83" s="10">
        <v>12</v>
      </c>
    </row>
    <row r="84" spans="1:2">
      <c r="A84" s="8" t="s">
        <v>441</v>
      </c>
      <c r="B84" s="10">
        <v>10.8</v>
      </c>
    </row>
    <row r="85" spans="1:2">
      <c r="A85" s="8" t="s">
        <v>443</v>
      </c>
      <c r="B85" s="10">
        <v>8.6</v>
      </c>
    </row>
    <row r="86" spans="1:2">
      <c r="A86" s="8" t="s">
        <v>444</v>
      </c>
      <c r="B86" s="10">
        <v>18</v>
      </c>
    </row>
    <row r="87" spans="1:2">
      <c r="A87" s="8" t="s">
        <v>445</v>
      </c>
      <c r="B87" s="10">
        <v>18.600000000000001</v>
      </c>
    </row>
    <row r="88" spans="1:2">
      <c r="A88" s="8" t="s">
        <v>446</v>
      </c>
      <c r="B88" s="10">
        <v>14.2</v>
      </c>
    </row>
    <row r="89" spans="1:2">
      <c r="A89" s="8" t="s">
        <v>447</v>
      </c>
      <c r="B89" s="10">
        <v>13.4</v>
      </c>
    </row>
    <row r="90" spans="1:2">
      <c r="A90" s="8" t="s">
        <v>448</v>
      </c>
      <c r="B90" s="10">
        <v>18</v>
      </c>
    </row>
    <row r="91" spans="1:2">
      <c r="A91" s="8" t="s">
        <v>449</v>
      </c>
      <c r="B91" s="10">
        <v>5.7</v>
      </c>
    </row>
    <row r="92" spans="1:2">
      <c r="A92" s="8" t="s">
        <v>451</v>
      </c>
      <c r="B92" s="10">
        <v>9.3000000000000007</v>
      </c>
    </row>
    <row r="93" spans="1:2">
      <c r="A93" s="8" t="s">
        <v>453</v>
      </c>
      <c r="B93" s="10">
        <v>13.5</v>
      </c>
    </row>
    <row r="94" spans="1:2">
      <c r="A94" s="6" t="s">
        <v>455</v>
      </c>
      <c r="B94" s="10">
        <v>13.5</v>
      </c>
    </row>
    <row r="95" spans="1:2">
      <c r="A95" s="8" t="s">
        <v>456</v>
      </c>
      <c r="B95" s="10">
        <v>14.5</v>
      </c>
    </row>
    <row r="96" spans="1:2">
      <c r="A96" s="8" t="s">
        <v>458</v>
      </c>
      <c r="B96" s="10">
        <v>13.4</v>
      </c>
    </row>
    <row r="97" spans="1:2">
      <c r="A97" s="8" t="s">
        <v>459</v>
      </c>
      <c r="B97" s="10">
        <v>13.4</v>
      </c>
    </row>
    <row r="98" spans="1:2">
      <c r="A98" s="8" t="s">
        <v>460</v>
      </c>
      <c r="B98" s="10">
        <v>7.6</v>
      </c>
    </row>
    <row r="99" spans="1:2">
      <c r="A99" s="26" t="s">
        <v>462</v>
      </c>
      <c r="B99" s="14">
        <v>16</v>
      </c>
    </row>
    <row r="100" spans="1:2">
      <c r="A100" s="27" t="s">
        <v>463</v>
      </c>
      <c r="B100" s="14">
        <v>7.5</v>
      </c>
    </row>
    <row r="101" spans="1:2">
      <c r="A101" s="8" t="s">
        <v>464</v>
      </c>
      <c r="B101" s="14">
        <v>12</v>
      </c>
    </row>
    <row r="102" spans="1:2">
      <c r="A102" s="23" t="s">
        <v>465</v>
      </c>
      <c r="B102" s="24">
        <v>15.6</v>
      </c>
    </row>
    <row r="103" spans="1:2">
      <c r="A103" s="22" t="s">
        <v>482</v>
      </c>
      <c r="B103" s="29">
        <v>6.5</v>
      </c>
    </row>
    <row r="104" spans="1:2">
      <c r="A104" s="16" t="s">
        <v>486</v>
      </c>
      <c r="B104" s="29">
        <v>7.8</v>
      </c>
    </row>
    <row r="105" spans="1:2">
      <c r="A105" s="16" t="s">
        <v>488</v>
      </c>
      <c r="B105" s="29">
        <v>8.8000000000000007</v>
      </c>
    </row>
    <row r="106" spans="1:2">
      <c r="A106" s="8" t="s">
        <v>496</v>
      </c>
      <c r="B106" s="14">
        <v>8.8000000000000007</v>
      </c>
    </row>
    <row r="107" spans="1:2">
      <c r="A107" s="35" t="s">
        <v>497</v>
      </c>
      <c r="B107" s="29">
        <v>14.5</v>
      </c>
    </row>
    <row r="108" spans="1:2">
      <c r="A108" s="16" t="s">
        <v>498</v>
      </c>
      <c r="B108" s="14">
        <v>7.6</v>
      </c>
    </row>
    <row r="109" spans="1:2">
      <c r="A109" s="16" t="s">
        <v>499</v>
      </c>
      <c r="B109" s="10">
        <v>10</v>
      </c>
    </row>
    <row r="110" spans="1:2">
      <c r="A110" s="16" t="s">
        <v>500</v>
      </c>
      <c r="B110" s="29">
        <v>10</v>
      </c>
    </row>
    <row r="111" spans="1:2">
      <c r="A111" s="16" t="s">
        <v>502</v>
      </c>
      <c r="B111" s="29">
        <v>11.5</v>
      </c>
    </row>
    <row r="112" spans="1:2">
      <c r="A112" s="16" t="s">
        <v>504</v>
      </c>
      <c r="B112" s="29">
        <v>10</v>
      </c>
    </row>
    <row r="113" spans="1:2">
      <c r="A113" s="33" t="s">
        <v>505</v>
      </c>
      <c r="B113" s="29">
        <v>9.5</v>
      </c>
    </row>
    <row r="114" spans="1:2">
      <c r="A114" s="16" t="s">
        <v>506</v>
      </c>
      <c r="B114" s="29">
        <v>12.5</v>
      </c>
    </row>
    <row r="115" spans="1:2">
      <c r="A115" s="16" t="s">
        <v>507</v>
      </c>
      <c r="B115" s="29">
        <v>12.5</v>
      </c>
    </row>
    <row r="116" spans="1:2">
      <c r="A116" s="16" t="s">
        <v>508</v>
      </c>
      <c r="B116" s="29">
        <v>18.2</v>
      </c>
    </row>
    <row r="117" spans="1:2">
      <c r="A117" s="13" t="s">
        <v>509</v>
      </c>
      <c r="B117" s="29">
        <v>13.5</v>
      </c>
    </row>
    <row r="118" spans="1:2">
      <c r="A118" s="16" t="s">
        <v>510</v>
      </c>
      <c r="B118" s="29">
        <v>15.4</v>
      </c>
    </row>
    <row r="119" spans="1:2">
      <c r="A119" s="27" t="s">
        <v>511</v>
      </c>
      <c r="B119" s="29">
        <v>14.5</v>
      </c>
    </row>
    <row r="120" spans="1:2">
      <c r="A120" s="16" t="s">
        <v>512</v>
      </c>
      <c r="B120" s="29">
        <v>2</v>
      </c>
    </row>
    <row r="121" spans="1:2">
      <c r="A121" s="16" t="s">
        <v>513</v>
      </c>
      <c r="B121" s="29">
        <v>8</v>
      </c>
    </row>
    <row r="122" spans="1:2">
      <c r="A122" s="8" t="s">
        <v>532</v>
      </c>
      <c r="B122" s="29">
        <v>16.5</v>
      </c>
    </row>
    <row r="123" spans="1:2">
      <c r="A123" s="16" t="s">
        <v>534</v>
      </c>
      <c r="B123" s="29">
        <v>2.5</v>
      </c>
    </row>
    <row r="124" spans="1:2">
      <c r="A124" s="33" t="s">
        <v>540</v>
      </c>
      <c r="B124" s="29">
        <v>6.1</v>
      </c>
    </row>
    <row r="125" spans="1:2">
      <c r="A125" s="13" t="s">
        <v>112</v>
      </c>
      <c r="B125" s="29">
        <v>8.8000000000000007</v>
      </c>
    </row>
    <row r="126" spans="1:2">
      <c r="A126" s="13" t="s">
        <v>556</v>
      </c>
      <c r="B126" s="29">
        <v>10</v>
      </c>
    </row>
    <row r="127" spans="1:2">
      <c r="A127" s="16" t="s">
        <v>557</v>
      </c>
      <c r="B127" s="29">
        <v>10</v>
      </c>
    </row>
    <row r="128" spans="1:2">
      <c r="A128" s="33" t="s">
        <v>561</v>
      </c>
      <c r="B128" s="29">
        <v>6.1</v>
      </c>
    </row>
    <row r="129" spans="1:2">
      <c r="A129" s="16" t="s">
        <v>566</v>
      </c>
      <c r="B129" s="29">
        <v>7.5</v>
      </c>
    </row>
    <row r="130" spans="1:2">
      <c r="A130" s="13" t="s">
        <v>567</v>
      </c>
      <c r="B130" s="29">
        <v>12</v>
      </c>
    </row>
    <row r="131" spans="1:2">
      <c r="A131" s="16" t="s">
        <v>568</v>
      </c>
      <c r="B131" s="29">
        <v>16.399999999999999</v>
      </c>
    </row>
    <row r="132" spans="1:2">
      <c r="A132" s="16" t="s">
        <v>571</v>
      </c>
      <c r="B132" s="29">
        <v>10</v>
      </c>
    </row>
    <row r="133" spans="1:2">
      <c r="A133" s="37" t="s">
        <v>572</v>
      </c>
      <c r="B133" s="29">
        <v>8.8000000000000007</v>
      </c>
    </row>
    <row r="134" spans="1:2">
      <c r="A134" s="13" t="s">
        <v>574</v>
      </c>
      <c r="B134" s="29">
        <v>8.8000000000000007</v>
      </c>
    </row>
    <row r="135" spans="1:2">
      <c r="A135" s="13" t="s">
        <v>575</v>
      </c>
      <c r="B135" s="29">
        <v>9</v>
      </c>
    </row>
    <row r="136" spans="1:2">
      <c r="A136" s="26" t="s">
        <v>576</v>
      </c>
      <c r="B136" s="28">
        <v>9.1999999999999993</v>
      </c>
    </row>
    <row r="137" spans="1:2">
      <c r="A137" s="26" t="s">
        <v>577</v>
      </c>
      <c r="B137" s="28">
        <v>6.1</v>
      </c>
    </row>
    <row r="138" spans="1:2">
      <c r="A138" s="13" t="s">
        <v>578</v>
      </c>
      <c r="B138" s="29">
        <v>8</v>
      </c>
    </row>
    <row r="139" spans="1:2">
      <c r="A139" s="13" t="s">
        <v>579</v>
      </c>
      <c r="B139" s="29">
        <v>8.8000000000000007</v>
      </c>
    </row>
    <row r="140" spans="1:2">
      <c r="A140" s="15" t="s">
        <v>580</v>
      </c>
      <c r="B140" s="10">
        <v>5</v>
      </c>
    </row>
    <row r="141" spans="1:2">
      <c r="A141" s="27" t="s">
        <v>582</v>
      </c>
      <c r="B141" s="28">
        <v>5.6</v>
      </c>
    </row>
    <row r="142" spans="1:2">
      <c r="A142" s="27" t="s">
        <v>584</v>
      </c>
      <c r="B142" s="28">
        <v>5.6</v>
      </c>
    </row>
    <row r="143" spans="1:2">
      <c r="A143" s="16" t="s">
        <v>585</v>
      </c>
      <c r="B143" s="29">
        <v>8.8000000000000007</v>
      </c>
    </row>
    <row r="144" spans="1:2">
      <c r="A144" s="16" t="s">
        <v>586</v>
      </c>
      <c r="B144" s="29">
        <v>8.8000000000000007</v>
      </c>
    </row>
    <row r="145" spans="1:2">
      <c r="A145" s="13" t="s">
        <v>587</v>
      </c>
      <c r="B145" s="29">
        <v>7.5</v>
      </c>
    </row>
    <row r="146" spans="1:2">
      <c r="A146" s="26" t="s">
        <v>589</v>
      </c>
      <c r="B146" s="28">
        <v>6</v>
      </c>
    </row>
    <row r="147" spans="1:2">
      <c r="A147" s="13" t="s">
        <v>592</v>
      </c>
      <c r="B147" s="29">
        <v>8.8000000000000007</v>
      </c>
    </row>
    <row r="148" spans="1:2">
      <c r="A148" s="13" t="s">
        <v>593</v>
      </c>
      <c r="B148" s="29">
        <v>8.8000000000000007</v>
      </c>
    </row>
    <row r="149" spans="1:2">
      <c r="A149" s="16" t="s">
        <v>594</v>
      </c>
      <c r="B149" s="29">
        <v>8.8000000000000007</v>
      </c>
    </row>
    <row r="150" spans="1:2">
      <c r="A150" s="13" t="s">
        <v>595</v>
      </c>
      <c r="B150" s="29">
        <v>8.8000000000000007</v>
      </c>
    </row>
    <row r="151" spans="1:2">
      <c r="A151" s="8" t="s">
        <v>599</v>
      </c>
      <c r="B151" s="29">
        <v>20.5</v>
      </c>
    </row>
    <row r="152" spans="1:2">
      <c r="A152" s="16" t="s">
        <v>600</v>
      </c>
      <c r="B152" s="14">
        <v>9.5</v>
      </c>
    </row>
    <row r="153" spans="1:2">
      <c r="A153" s="16" t="s">
        <v>602</v>
      </c>
      <c r="B153" s="29">
        <v>6.5</v>
      </c>
    </row>
    <row r="154" spans="1:2">
      <c r="A154" s="13" t="s">
        <v>606</v>
      </c>
      <c r="B154" s="29">
        <v>10</v>
      </c>
    </row>
    <row r="155" spans="1:2">
      <c r="A155" s="16" t="s">
        <v>607</v>
      </c>
      <c r="B155" s="14">
        <v>15</v>
      </c>
    </row>
    <row r="156" spans="1:2">
      <c r="A156" s="16" t="s">
        <v>615</v>
      </c>
      <c r="B156" s="29">
        <v>12.5</v>
      </c>
    </row>
    <row r="157" spans="1:2">
      <c r="A157" s="16" t="s">
        <v>616</v>
      </c>
      <c r="B157" s="29">
        <v>10</v>
      </c>
    </row>
    <row r="158" spans="1:2">
      <c r="A158" s="16" t="s">
        <v>617</v>
      </c>
      <c r="B158" s="14">
        <v>8.8000000000000007</v>
      </c>
    </row>
    <row r="159" spans="1:2">
      <c r="A159" s="16" t="s">
        <v>618</v>
      </c>
      <c r="B159" s="10">
        <v>5</v>
      </c>
    </row>
    <row r="160" spans="1:2">
      <c r="A160" s="16" t="s">
        <v>619</v>
      </c>
      <c r="B160" s="14">
        <v>15</v>
      </c>
    </row>
    <row r="161" spans="1:2">
      <c r="A161" s="16" t="s">
        <v>620</v>
      </c>
      <c r="B161" s="29">
        <v>12</v>
      </c>
    </row>
    <row r="162" spans="1:2">
      <c r="A162" s="16" t="s">
        <v>621</v>
      </c>
      <c r="B162" s="29">
        <v>14</v>
      </c>
    </row>
    <row r="163" spans="1:2">
      <c r="A163" s="16" t="s">
        <v>622</v>
      </c>
      <c r="B163" s="29">
        <v>8.8000000000000007</v>
      </c>
    </row>
    <row r="164" spans="1:2">
      <c r="A164" s="16" t="s">
        <v>623</v>
      </c>
      <c r="B164" s="29">
        <v>16.2</v>
      </c>
    </row>
    <row r="165" spans="1:2">
      <c r="A165" s="16" t="s">
        <v>624</v>
      </c>
      <c r="B165" s="29">
        <v>8.8000000000000007</v>
      </c>
    </row>
    <row r="166" spans="1:2">
      <c r="A166" s="16" t="s">
        <v>625</v>
      </c>
      <c r="B166" s="29">
        <v>16.399999999999999</v>
      </c>
    </row>
    <row r="167" spans="1:2">
      <c r="A167" s="16" t="s">
        <v>627</v>
      </c>
      <c r="B167" s="29">
        <v>8.8000000000000007</v>
      </c>
    </row>
    <row r="168" spans="1:2">
      <c r="A168" s="16" t="s">
        <v>629</v>
      </c>
      <c r="B168" s="10">
        <v>5</v>
      </c>
    </row>
    <row r="169" spans="1:2">
      <c r="A169" s="16" t="s">
        <v>630</v>
      </c>
      <c r="B169" s="29">
        <v>18</v>
      </c>
    </row>
    <row r="170" spans="1:2">
      <c r="A170" s="16" t="s">
        <v>641</v>
      </c>
      <c r="B170" s="29">
        <v>8.8000000000000007</v>
      </c>
    </row>
    <row r="171" spans="1:2">
      <c r="A171" s="13" t="s">
        <v>642</v>
      </c>
      <c r="B171" s="29">
        <v>8.8000000000000007</v>
      </c>
    </row>
    <row r="172" spans="1:2">
      <c r="A172" s="16" t="s">
        <v>643</v>
      </c>
      <c r="B172" s="29">
        <v>8.8000000000000007</v>
      </c>
    </row>
    <row r="173" spans="1:2">
      <c r="A173" s="16" t="s">
        <v>644</v>
      </c>
      <c r="B173" s="29">
        <v>16.399999999999999</v>
      </c>
    </row>
    <row r="174" spans="1:2">
      <c r="A174" s="13" t="s">
        <v>645</v>
      </c>
      <c r="B174" s="29">
        <v>15</v>
      </c>
    </row>
    <row r="175" spans="1:2">
      <c r="A175" s="16" t="s">
        <v>657</v>
      </c>
      <c r="B175" s="29">
        <v>17</v>
      </c>
    </row>
    <row r="176" spans="1:2">
      <c r="A176" s="13" t="s">
        <v>659</v>
      </c>
      <c r="B176" s="29">
        <v>7</v>
      </c>
    </row>
    <row r="177" spans="1:2">
      <c r="A177" s="13" t="s">
        <v>661</v>
      </c>
      <c r="B177" s="29">
        <v>5</v>
      </c>
    </row>
    <row r="178" spans="1:2">
      <c r="A178" s="13" t="s">
        <v>670</v>
      </c>
      <c r="B178" s="29">
        <v>10</v>
      </c>
    </row>
    <row r="179" spans="1:2">
      <c r="A179" s="16" t="s">
        <v>682</v>
      </c>
      <c r="B179" s="28">
        <v>6.1</v>
      </c>
    </row>
    <row r="180" spans="1:2">
      <c r="A180" s="16" t="s">
        <v>686</v>
      </c>
      <c r="B180" s="29">
        <v>16.399999999999999</v>
      </c>
    </row>
    <row r="181" spans="1:2">
      <c r="A181" s="16" t="s">
        <v>686</v>
      </c>
      <c r="B181" s="29">
        <v>16.399999999999999</v>
      </c>
    </row>
    <row r="182" spans="1:2">
      <c r="A182" s="16" t="s">
        <v>688</v>
      </c>
      <c r="B182" s="29">
        <v>12.5</v>
      </c>
    </row>
    <row r="183" spans="1:2">
      <c r="A183" s="13" t="s">
        <v>690</v>
      </c>
      <c r="B183" s="29">
        <v>12</v>
      </c>
    </row>
    <row r="184" spans="1:2">
      <c r="A184" s="41" t="s">
        <v>691</v>
      </c>
      <c r="B184" s="29">
        <v>22</v>
      </c>
    </row>
    <row r="185" spans="1:2">
      <c r="A185" s="41" t="s">
        <v>692</v>
      </c>
      <c r="B185" s="29">
        <v>16.399999999999999</v>
      </c>
    </row>
    <row r="186" spans="1:2">
      <c r="A186" s="16" t="s">
        <v>693</v>
      </c>
      <c r="B186" s="29">
        <v>15.5</v>
      </c>
    </row>
    <row r="187" spans="1:2">
      <c r="A187" s="16" t="s">
        <v>695</v>
      </c>
      <c r="B187" s="29">
        <v>16.399999999999999</v>
      </c>
    </row>
    <row r="188" spans="1:2">
      <c r="A188" s="40" t="s">
        <v>697</v>
      </c>
      <c r="B188" s="29">
        <v>8</v>
      </c>
    </row>
    <row r="189" spans="1:2">
      <c r="A189" s="16" t="s">
        <v>698</v>
      </c>
      <c r="B189" s="29">
        <v>6.5</v>
      </c>
    </row>
    <row r="190" spans="1:2">
      <c r="A190" s="16" t="s">
        <v>699</v>
      </c>
      <c r="B190" s="29">
        <v>16.399999999999999</v>
      </c>
    </row>
    <row r="191" spans="1:2">
      <c r="A191" s="16" t="s">
        <v>700</v>
      </c>
      <c r="B191" s="29">
        <v>8.8000000000000007</v>
      </c>
    </row>
    <row r="192" spans="1:2">
      <c r="A192" s="16" t="s">
        <v>700</v>
      </c>
      <c r="B192" s="29">
        <v>8.8000000000000007</v>
      </c>
    </row>
    <row r="193" spans="1:2">
      <c r="A193" s="16" t="s">
        <v>702</v>
      </c>
      <c r="B193" s="29">
        <v>16.399999999999999</v>
      </c>
    </row>
    <row r="194" spans="1:2">
      <c r="A194" s="16" t="s">
        <v>703</v>
      </c>
      <c r="B194" s="29">
        <v>7</v>
      </c>
    </row>
    <row r="195" spans="1:2">
      <c r="A195" s="16" t="s">
        <v>705</v>
      </c>
      <c r="B195" s="29">
        <v>16.399999999999999</v>
      </c>
    </row>
    <row r="196" spans="1:2">
      <c r="A196" s="16" t="s">
        <v>706</v>
      </c>
      <c r="B196" s="29">
        <v>16.399999999999999</v>
      </c>
    </row>
  </sheetData>
  <protectedRanges>
    <protectedRange sqref="A111" name="Диапазон1_9_1"/>
    <protectedRange sqref="A112" name="Диапазон1_11_1"/>
    <protectedRange sqref="A113" name="Диапазон1_12_1"/>
    <protectedRange sqref="A114" name="Диапазон1_13_1"/>
    <protectedRange sqref="A115" name="Диапазон1_14_1"/>
    <protectedRange sqref="A116" name="Диапазон1_15_1"/>
    <protectedRange sqref="A118" name="Диапазон1_16_1"/>
    <protectedRange sqref="A119" name="Диапазон1_17_1"/>
    <protectedRange sqref="A120" name="Диапазон1_19_1"/>
    <protectedRange sqref="A121" name="Диапазон1_18_1"/>
    <protectedRange sqref="A122" name="Диапазон1_21"/>
    <protectedRange sqref="A123" name="Диапазон1_7"/>
    <protectedRange sqref="A124" name="Диапазон1"/>
    <protectedRange sqref="A128" name="Диапазон1_42"/>
    <protectedRange sqref="A129" name="Диапазон1_47"/>
    <protectedRange sqref="A131" name="Диапазон1_1"/>
    <protectedRange sqref="A132" name="Диапазон1_65"/>
    <protectedRange sqref="A140" name="Диапазон1_50"/>
    <protectedRange sqref="A141:A142" name="Диапазон1_52"/>
    <protectedRange sqref="A143" name="Диапазон1_48"/>
    <protectedRange sqref="A144" name="Диапазон1_53"/>
    <protectedRange sqref="A149" name="Диапазон1_76"/>
    <protectedRange sqref="A152" name="Диапазон1_55"/>
    <protectedRange sqref="A153" name="Диапазон1_57"/>
    <protectedRange sqref="A155" name="Диапазон1_58"/>
    <protectedRange sqref="A156" name="Диапазон1_64"/>
    <protectedRange sqref="A157" name="Диапазон1_66"/>
    <protectedRange sqref="A158" name="Диапазон1_68"/>
    <protectedRange sqref="A159" name="Диапазон1_70"/>
    <protectedRange sqref="A160:A161" name="Диапазон1_72"/>
    <protectedRange sqref="A162:A163" name="Диапазон1_74"/>
    <protectedRange sqref="A164" name="Диапазон1_3"/>
    <protectedRange sqref="A165" name="Диапазон1_60"/>
    <protectedRange sqref="A166" name="Диапазон1_61"/>
    <protectedRange sqref="A167" name="Диапазон1_63"/>
    <protectedRange sqref="A168" name="Диапазон1_67"/>
    <protectedRange sqref="A169" name="Диапазон1_69"/>
    <protectedRange sqref="A170" name="Диапазон1_75"/>
    <protectedRange sqref="A172" name="Диапазон1_77"/>
    <protectedRange sqref="A173" name="Диапазон1_78"/>
    <protectedRange sqref="A175" name="Диапазон1_84"/>
    <protectedRange sqref="A181" name="Диапазон1_89"/>
    <protectedRange sqref="A182" name="Диапазон1_92"/>
  </protectedRange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61CD-21F0-4A1A-BFDC-262767F06D7C}">
  <dimension ref="A1:Q965"/>
  <sheetViews>
    <sheetView workbookViewId="0">
      <selection activeCell="I8" sqref="I8:Q25"/>
    </sheetView>
  </sheetViews>
  <sheetFormatPr defaultRowHeight="15"/>
  <cols>
    <col min="1" max="1" width="29.5703125" customWidth="1"/>
    <col min="2" max="2" width="11.28515625" customWidth="1"/>
    <col min="3" max="3" width="10" customWidth="1"/>
    <col min="4" max="4" width="0" hidden="1" customWidth="1"/>
  </cols>
  <sheetData>
    <row r="1" spans="1:17" ht="38.25">
      <c r="A1" s="42" t="s">
        <v>707</v>
      </c>
      <c r="B1" s="42" t="s">
        <v>708</v>
      </c>
      <c r="C1" s="43" t="s">
        <v>709</v>
      </c>
      <c r="D1" s="44" t="s">
        <v>710</v>
      </c>
    </row>
    <row r="2" spans="1:17" ht="15.75">
      <c r="A2" s="45" t="s">
        <v>711</v>
      </c>
      <c r="B2" s="45" t="s">
        <v>712</v>
      </c>
      <c r="C2" s="46" t="s">
        <v>713</v>
      </c>
      <c r="D2" s="47">
        <v>15.5</v>
      </c>
    </row>
    <row r="3" spans="1:17" ht="15.75">
      <c r="A3" s="45" t="s">
        <v>711</v>
      </c>
      <c r="B3" s="45" t="s">
        <v>714</v>
      </c>
      <c r="C3" s="46" t="s">
        <v>713</v>
      </c>
      <c r="D3" s="47">
        <v>15.5</v>
      </c>
    </row>
    <row r="4" spans="1:17" ht="15.75">
      <c r="A4" s="45" t="s">
        <v>711</v>
      </c>
      <c r="B4" s="45" t="s">
        <v>715</v>
      </c>
      <c r="C4" s="46" t="s">
        <v>713</v>
      </c>
      <c r="D4" s="47">
        <v>15.5</v>
      </c>
    </row>
    <row r="5" spans="1:17" ht="15.75">
      <c r="A5" s="45" t="s">
        <v>711</v>
      </c>
      <c r="B5" s="48" t="s">
        <v>716</v>
      </c>
      <c r="C5" s="46" t="s">
        <v>717</v>
      </c>
      <c r="D5" s="47">
        <v>18.2</v>
      </c>
    </row>
    <row r="6" spans="1:17" ht="15.75">
      <c r="A6" s="45" t="s">
        <v>711</v>
      </c>
      <c r="B6" s="49" t="s">
        <v>718</v>
      </c>
      <c r="C6" s="46" t="s">
        <v>717</v>
      </c>
      <c r="D6" s="47">
        <v>17.399999999999984</v>
      </c>
    </row>
    <row r="7" spans="1:17" ht="15.75">
      <c r="A7" s="45" t="s">
        <v>711</v>
      </c>
      <c r="B7" s="45" t="s">
        <v>719</v>
      </c>
      <c r="C7" s="46" t="s">
        <v>717</v>
      </c>
      <c r="D7" s="47">
        <v>15.5</v>
      </c>
    </row>
    <row r="8" spans="1:17" ht="15.75">
      <c r="A8" s="45" t="s">
        <v>711</v>
      </c>
      <c r="B8" s="45" t="s">
        <v>720</v>
      </c>
      <c r="C8" s="46" t="s">
        <v>717</v>
      </c>
      <c r="D8" s="47">
        <v>15.5</v>
      </c>
      <c r="I8" s="81"/>
      <c r="J8" s="81">
        <v>8529</v>
      </c>
      <c r="K8" s="81"/>
      <c r="L8" s="81"/>
      <c r="M8" s="81"/>
      <c r="N8" s="81"/>
      <c r="O8" s="81"/>
      <c r="P8" s="81"/>
      <c r="Q8" s="81"/>
    </row>
    <row r="9" spans="1:17" ht="15.75">
      <c r="A9" s="45" t="s">
        <v>711</v>
      </c>
      <c r="B9" s="49" t="s">
        <v>721</v>
      </c>
      <c r="C9" s="46" t="s">
        <v>717</v>
      </c>
      <c r="D9" s="47">
        <v>17</v>
      </c>
      <c r="I9" s="81"/>
      <c r="J9" s="136" t="s">
        <v>1016</v>
      </c>
      <c r="K9" s="136"/>
      <c r="L9" s="136"/>
      <c r="M9" s="136"/>
      <c r="N9" s="136" t="s">
        <v>1019</v>
      </c>
      <c r="O9" s="136"/>
      <c r="P9" s="136"/>
      <c r="Q9" s="136"/>
    </row>
    <row r="10" spans="1:17" ht="15.75">
      <c r="A10" s="45"/>
      <c r="B10" s="49"/>
      <c r="C10" s="46"/>
      <c r="D10" s="47"/>
      <c r="I10" s="81"/>
      <c r="J10" s="136" t="s">
        <v>1017</v>
      </c>
      <c r="K10" s="136"/>
      <c r="L10" s="136" t="s">
        <v>1018</v>
      </c>
      <c r="M10" s="136"/>
      <c r="N10" s="136" t="s">
        <v>1017</v>
      </c>
      <c r="O10" s="136"/>
      <c r="P10" s="136" t="s">
        <v>1018</v>
      </c>
      <c r="Q10" s="136"/>
    </row>
    <row r="11" spans="1:17" ht="15.75">
      <c r="A11" s="50" t="s">
        <v>711</v>
      </c>
      <c r="B11" s="50" t="s">
        <v>722</v>
      </c>
      <c r="C11" s="51" t="s">
        <v>717</v>
      </c>
      <c r="D11" s="47">
        <v>17</v>
      </c>
      <c r="I11" s="82">
        <v>46057</v>
      </c>
      <c r="J11" s="81">
        <v>100</v>
      </c>
      <c r="K11" s="83">
        <v>0.95840909090909099</v>
      </c>
      <c r="L11" s="81">
        <v>100</v>
      </c>
      <c r="M11" s="83">
        <v>0.3893487309886543</v>
      </c>
      <c r="N11" s="81">
        <v>100</v>
      </c>
      <c r="O11" s="81">
        <v>100</v>
      </c>
      <c r="P11" s="81">
        <v>100</v>
      </c>
      <c r="Q11" s="83">
        <v>0.27040278584111038</v>
      </c>
    </row>
    <row r="12" spans="1:17" ht="15.75">
      <c r="A12" s="45" t="s">
        <v>711</v>
      </c>
      <c r="B12" s="49" t="s">
        <v>723</v>
      </c>
      <c r="C12" s="52" t="s">
        <v>724</v>
      </c>
      <c r="D12" s="47">
        <v>17.400000000000045</v>
      </c>
      <c r="I12" s="82">
        <v>46058</v>
      </c>
      <c r="J12" s="81">
        <v>100</v>
      </c>
      <c r="K12" s="83">
        <v>1</v>
      </c>
      <c r="L12" s="81">
        <v>26</v>
      </c>
      <c r="M12" s="83">
        <v>0.24517262497862766</v>
      </c>
      <c r="N12" s="81">
        <v>100</v>
      </c>
      <c r="O12" s="81">
        <v>100</v>
      </c>
      <c r="P12" s="81">
        <v>30</v>
      </c>
      <c r="Q12" s="83">
        <v>0.27281660461390778</v>
      </c>
    </row>
    <row r="13" spans="1:17" ht="15.75">
      <c r="A13" s="45" t="s">
        <v>711</v>
      </c>
      <c r="B13" s="48" t="s">
        <v>725</v>
      </c>
      <c r="C13" s="53" t="s">
        <v>726</v>
      </c>
      <c r="D13" s="47">
        <v>17.399999999999988</v>
      </c>
      <c r="I13" s="82">
        <v>46059</v>
      </c>
      <c r="J13" s="81">
        <v>100</v>
      </c>
      <c r="K13" s="83">
        <v>1</v>
      </c>
      <c r="L13" s="81">
        <v>35</v>
      </c>
      <c r="M13" s="83">
        <v>0.26174063832913719</v>
      </c>
      <c r="N13" s="81">
        <v>100</v>
      </c>
      <c r="O13" s="81">
        <v>100</v>
      </c>
      <c r="P13" s="81">
        <v>30</v>
      </c>
      <c r="Q13" s="83">
        <v>0.29634422866039484</v>
      </c>
    </row>
    <row r="14" spans="1:17" ht="15.75">
      <c r="A14" s="45" t="s">
        <v>711</v>
      </c>
      <c r="B14" s="49" t="s">
        <v>727</v>
      </c>
      <c r="C14" s="52" t="s">
        <v>728</v>
      </c>
      <c r="D14" s="47">
        <v>18.199999999999985</v>
      </c>
      <c r="I14" s="82">
        <v>46060</v>
      </c>
      <c r="J14" s="81">
        <v>100</v>
      </c>
      <c r="K14" s="83">
        <v>1</v>
      </c>
      <c r="L14" s="81">
        <v>21</v>
      </c>
      <c r="M14" s="83">
        <v>0.34521653409970932</v>
      </c>
      <c r="N14" s="81">
        <v>100</v>
      </c>
      <c r="O14" s="81">
        <v>100</v>
      </c>
      <c r="P14" s="81">
        <v>26</v>
      </c>
      <c r="Q14" s="83">
        <v>0.2965420442691783</v>
      </c>
    </row>
    <row r="15" spans="1:17" ht="15.75">
      <c r="A15" s="45" t="s">
        <v>711</v>
      </c>
      <c r="B15" s="49" t="s">
        <v>729</v>
      </c>
      <c r="C15" s="52" t="s">
        <v>728</v>
      </c>
      <c r="D15" s="47">
        <v>18.199999999999985</v>
      </c>
      <c r="I15" s="82">
        <v>46061</v>
      </c>
      <c r="J15" s="81">
        <v>100</v>
      </c>
      <c r="K15" s="83">
        <v>1</v>
      </c>
      <c r="L15" s="81">
        <v>29</v>
      </c>
      <c r="M15" s="83">
        <v>0.2100088157877619</v>
      </c>
      <c r="N15" s="81">
        <v>100</v>
      </c>
      <c r="O15" s="81">
        <v>100</v>
      </c>
      <c r="P15" s="81">
        <v>24</v>
      </c>
      <c r="Q15" s="83">
        <v>0.26144619725257551</v>
      </c>
    </row>
    <row r="16" spans="1:17" ht="15.75">
      <c r="A16" s="45" t="s">
        <v>711</v>
      </c>
      <c r="B16" s="49" t="s">
        <v>730</v>
      </c>
      <c r="C16" s="52" t="s">
        <v>728</v>
      </c>
      <c r="D16" s="47">
        <v>18.2</v>
      </c>
      <c r="I16" s="82">
        <v>46062</v>
      </c>
      <c r="J16" s="81">
        <v>100</v>
      </c>
      <c r="K16" s="83">
        <v>1</v>
      </c>
      <c r="L16" s="81">
        <v>29</v>
      </c>
      <c r="M16" s="83">
        <v>0.29410560079654247</v>
      </c>
      <c r="N16" s="81">
        <v>100</v>
      </c>
      <c r="O16" s="81">
        <v>100</v>
      </c>
      <c r="P16" s="81">
        <v>-60</v>
      </c>
      <c r="Q16" s="83">
        <v>0.24043469895605957</v>
      </c>
    </row>
    <row r="17" spans="1:17" ht="15.75">
      <c r="A17" s="45" t="s">
        <v>711</v>
      </c>
      <c r="B17" s="54" t="s">
        <v>731</v>
      </c>
      <c r="C17" s="55" t="s">
        <v>728</v>
      </c>
      <c r="D17" s="47">
        <v>16.200000000000024</v>
      </c>
      <c r="I17" s="82">
        <v>46063</v>
      </c>
      <c r="J17" s="81">
        <v>100</v>
      </c>
      <c r="K17" s="83">
        <v>1</v>
      </c>
      <c r="L17" s="81">
        <v>24</v>
      </c>
      <c r="M17" s="83">
        <v>0.29414460336807308</v>
      </c>
      <c r="N17" s="81"/>
      <c r="O17" s="81"/>
      <c r="P17" s="81"/>
      <c r="Q17" s="83"/>
    </row>
    <row r="18" spans="1:17" ht="15.75">
      <c r="A18" s="45" t="s">
        <v>711</v>
      </c>
      <c r="B18" s="45" t="s">
        <v>732</v>
      </c>
      <c r="C18" s="55" t="s">
        <v>728</v>
      </c>
      <c r="D18" s="47">
        <v>16.200000000000024</v>
      </c>
      <c r="I18" s="81"/>
      <c r="J18" s="81" t="s">
        <v>732</v>
      </c>
      <c r="K18" s="81"/>
      <c r="L18" s="81"/>
      <c r="M18" s="81"/>
      <c r="N18" s="81"/>
      <c r="O18" s="81"/>
      <c r="P18" s="81"/>
      <c r="Q18" s="81"/>
    </row>
    <row r="19" spans="1:17" ht="15.75">
      <c r="A19" s="45" t="s">
        <v>711</v>
      </c>
      <c r="B19" s="45" t="s">
        <v>733</v>
      </c>
      <c r="C19" s="55" t="s">
        <v>728</v>
      </c>
      <c r="D19" s="47">
        <v>18.2</v>
      </c>
      <c r="I19" s="82">
        <v>46057</v>
      </c>
      <c r="J19" s="81">
        <v>80</v>
      </c>
      <c r="K19" s="83">
        <v>0.81123737373737381</v>
      </c>
      <c r="L19" s="81">
        <v>88</v>
      </c>
      <c r="M19" s="83">
        <v>0.44851218824308259</v>
      </c>
      <c r="N19" s="81">
        <v>83</v>
      </c>
      <c r="O19" s="83">
        <v>0.91479797979797983</v>
      </c>
      <c r="P19" s="81">
        <v>90</v>
      </c>
      <c r="Q19" s="83">
        <v>0.38713613751029419</v>
      </c>
    </row>
    <row r="20" spans="1:17" ht="15.75">
      <c r="A20" s="45" t="s">
        <v>711</v>
      </c>
      <c r="B20" s="45" t="s">
        <v>734</v>
      </c>
      <c r="C20" s="52" t="s">
        <v>728</v>
      </c>
      <c r="D20" s="47">
        <v>17.400000000000041</v>
      </c>
      <c r="I20" s="82">
        <v>46058</v>
      </c>
      <c r="J20" s="81">
        <v>78</v>
      </c>
      <c r="K20" s="83">
        <v>0.87174242424242432</v>
      </c>
      <c r="L20" s="81">
        <v>61</v>
      </c>
      <c r="M20" s="83">
        <v>0.775079632108998</v>
      </c>
      <c r="N20" s="81">
        <v>83</v>
      </c>
      <c r="O20" s="83">
        <v>0.90174242424242423</v>
      </c>
      <c r="P20" s="81">
        <v>48</v>
      </c>
      <c r="Q20" s="83">
        <v>0.82524789623725425</v>
      </c>
    </row>
    <row r="21" spans="1:17" ht="15.75">
      <c r="A21" s="45" t="s">
        <v>711</v>
      </c>
      <c r="B21" s="49" t="s">
        <v>735</v>
      </c>
      <c r="C21" s="52" t="s">
        <v>728</v>
      </c>
      <c r="D21" s="47">
        <v>15</v>
      </c>
      <c r="I21" s="82">
        <v>46059</v>
      </c>
      <c r="J21" s="81">
        <v>78</v>
      </c>
      <c r="K21" s="83">
        <v>0.86037878787878797</v>
      </c>
      <c r="L21" s="81">
        <v>84</v>
      </c>
      <c r="M21" s="83">
        <v>0.740482924884035</v>
      </c>
      <c r="N21" s="81">
        <v>78</v>
      </c>
      <c r="O21" s="83">
        <v>0.9011868686868687</v>
      </c>
      <c r="P21" s="81">
        <v>55</v>
      </c>
      <c r="Q21" s="83">
        <v>0.47635615072589071</v>
      </c>
    </row>
    <row r="22" spans="1:17" ht="15.75">
      <c r="A22" s="54" t="s">
        <v>711</v>
      </c>
      <c r="B22" s="48" t="s">
        <v>736</v>
      </c>
      <c r="C22" s="52" t="s">
        <v>737</v>
      </c>
      <c r="D22" s="47">
        <v>18.2</v>
      </c>
      <c r="I22" s="82">
        <v>46060</v>
      </c>
      <c r="J22" s="81">
        <v>82</v>
      </c>
      <c r="K22" s="83">
        <v>0.85467171717171719</v>
      </c>
      <c r="L22" s="81">
        <v>83</v>
      </c>
      <c r="M22" s="83">
        <v>0.83590261876036187</v>
      </c>
      <c r="N22" s="81">
        <v>76</v>
      </c>
      <c r="O22" s="83">
        <v>0.84573232323232328</v>
      </c>
      <c r="P22" s="81">
        <v>88</v>
      </c>
      <c r="Q22" s="83">
        <v>0.54533499418842624</v>
      </c>
    </row>
    <row r="23" spans="1:17" ht="15.75">
      <c r="A23" s="45" t="s">
        <v>711</v>
      </c>
      <c r="B23" s="49" t="s">
        <v>738</v>
      </c>
      <c r="C23" s="52" t="s">
        <v>737</v>
      </c>
      <c r="D23" s="47">
        <v>17.400000000000045</v>
      </c>
      <c r="I23" s="82">
        <v>46061</v>
      </c>
      <c r="J23" s="81">
        <v>79</v>
      </c>
      <c r="K23" s="83">
        <v>0.89416666666666667</v>
      </c>
      <c r="L23" s="81">
        <v>91</v>
      </c>
      <c r="M23" s="83">
        <v>0.82872575274750659</v>
      </c>
      <c r="N23" s="81">
        <v>76</v>
      </c>
      <c r="O23" s="83">
        <v>0.83184343434343433</v>
      </c>
      <c r="P23" s="81">
        <v>63</v>
      </c>
      <c r="Q23" s="83">
        <v>0.87794325539727591</v>
      </c>
    </row>
    <row r="24" spans="1:17" ht="15.75">
      <c r="A24" s="56" t="s">
        <v>739</v>
      </c>
      <c r="B24" s="57" t="s">
        <v>740</v>
      </c>
      <c r="C24" s="46" t="s">
        <v>717</v>
      </c>
      <c r="D24" s="47">
        <v>2.5</v>
      </c>
      <c r="I24" s="82">
        <v>46062</v>
      </c>
      <c r="J24" s="81">
        <v>77</v>
      </c>
      <c r="K24" s="83">
        <v>0.85863636363636364</v>
      </c>
      <c r="L24" s="81">
        <v>82</v>
      </c>
      <c r="M24" s="83">
        <v>0.90761049253664217</v>
      </c>
      <c r="N24" s="81">
        <v>89</v>
      </c>
      <c r="O24" s="83">
        <v>0.82704545454545464</v>
      </c>
      <c r="P24" s="81">
        <v>38</v>
      </c>
      <c r="Q24" s="83">
        <v>0.63316548633269043</v>
      </c>
    </row>
    <row r="25" spans="1:17" ht="15.75">
      <c r="A25" s="56" t="s">
        <v>739</v>
      </c>
      <c r="B25" s="58" t="s">
        <v>741</v>
      </c>
      <c r="C25" s="46" t="s">
        <v>717</v>
      </c>
      <c r="D25" s="47">
        <v>6.5</v>
      </c>
      <c r="I25" s="82">
        <v>46063</v>
      </c>
      <c r="J25" s="81">
        <v>79</v>
      </c>
      <c r="K25" s="83">
        <v>0.83482323232323241</v>
      </c>
      <c r="L25" s="81">
        <v>42</v>
      </c>
      <c r="M25" s="83">
        <v>0.82043093894522767</v>
      </c>
      <c r="N25" s="81"/>
      <c r="O25" s="83">
        <v>0.81787878787878787</v>
      </c>
      <c r="P25" s="81"/>
      <c r="Q25" s="83">
        <v>0.57938379848332033</v>
      </c>
    </row>
    <row r="26" spans="1:17" ht="15.75">
      <c r="A26" s="56" t="s">
        <v>739</v>
      </c>
      <c r="B26" s="57" t="s">
        <v>742</v>
      </c>
      <c r="C26" s="46" t="s">
        <v>717</v>
      </c>
      <c r="D26" s="47">
        <v>6</v>
      </c>
    </row>
    <row r="27" spans="1:17" ht="15.75">
      <c r="A27" s="56" t="s">
        <v>739</v>
      </c>
      <c r="B27" s="58" t="s">
        <v>743</v>
      </c>
      <c r="C27" s="46" t="s">
        <v>717</v>
      </c>
      <c r="D27" s="47">
        <v>6.5</v>
      </c>
    </row>
    <row r="28" spans="1:17" ht="15.75">
      <c r="A28" s="56" t="s">
        <v>739</v>
      </c>
      <c r="B28" s="57" t="s">
        <v>744</v>
      </c>
      <c r="C28" s="46" t="s">
        <v>717</v>
      </c>
      <c r="D28" s="47">
        <v>7</v>
      </c>
    </row>
    <row r="29" spans="1:17" ht="15.75">
      <c r="A29" s="56" t="s">
        <v>739</v>
      </c>
      <c r="B29" s="57" t="s">
        <v>745</v>
      </c>
      <c r="C29" s="46" t="s">
        <v>717</v>
      </c>
      <c r="D29" s="47">
        <v>6.5</v>
      </c>
    </row>
    <row r="30" spans="1:17" ht="15.75">
      <c r="A30" s="56" t="s">
        <v>739</v>
      </c>
      <c r="B30" s="57" t="s">
        <v>746</v>
      </c>
      <c r="C30" s="46" t="s">
        <v>717</v>
      </c>
      <c r="D30" s="47">
        <v>1.5</v>
      </c>
    </row>
    <row r="31" spans="1:17" ht="15.75">
      <c r="A31" s="59" t="s">
        <v>739</v>
      </c>
      <c r="B31" s="58" t="s">
        <v>747</v>
      </c>
      <c r="C31" s="46" t="s">
        <v>717</v>
      </c>
      <c r="D31" s="47">
        <v>6</v>
      </c>
    </row>
    <row r="32" spans="1:17" ht="15.75">
      <c r="A32" s="56" t="s">
        <v>739</v>
      </c>
      <c r="B32" s="57" t="s">
        <v>748</v>
      </c>
      <c r="C32" s="46" t="s">
        <v>717</v>
      </c>
      <c r="D32" s="47">
        <v>6.5</v>
      </c>
    </row>
    <row r="33" spans="1:4" ht="15.75">
      <c r="A33" s="56" t="s">
        <v>739</v>
      </c>
      <c r="B33" s="57" t="s">
        <v>749</v>
      </c>
      <c r="C33" s="46" t="s">
        <v>717</v>
      </c>
      <c r="D33" s="47">
        <v>6.5</v>
      </c>
    </row>
    <row r="34" spans="1:4" ht="15.75">
      <c r="A34" s="56" t="s">
        <v>739</v>
      </c>
      <c r="B34" s="57" t="s">
        <v>750</v>
      </c>
      <c r="C34" s="46" t="s">
        <v>717</v>
      </c>
      <c r="D34" s="47">
        <v>8</v>
      </c>
    </row>
    <row r="35" spans="1:4" ht="15.75">
      <c r="A35" s="56" t="s">
        <v>739</v>
      </c>
      <c r="B35" s="57" t="s">
        <v>751</v>
      </c>
      <c r="C35" s="46" t="s">
        <v>717</v>
      </c>
      <c r="D35" s="47">
        <v>6.5</v>
      </c>
    </row>
    <row r="36" spans="1:4" ht="15.75">
      <c r="A36" s="56" t="s">
        <v>739</v>
      </c>
      <c r="B36" s="57" t="s">
        <v>752</v>
      </c>
      <c r="C36" s="46" t="s">
        <v>717</v>
      </c>
      <c r="D36" s="47">
        <v>6.5</v>
      </c>
    </row>
    <row r="37" spans="1:4" ht="15.75">
      <c r="A37" s="56" t="s">
        <v>739</v>
      </c>
      <c r="B37" s="57" t="s">
        <v>753</v>
      </c>
      <c r="C37" s="46" t="s">
        <v>717</v>
      </c>
      <c r="D37" s="47">
        <v>6.5</v>
      </c>
    </row>
    <row r="38" spans="1:4" ht="15.75">
      <c r="A38" s="60" t="s">
        <v>754</v>
      </c>
      <c r="B38" s="61" t="s">
        <v>755</v>
      </c>
      <c r="C38" s="46" t="s">
        <v>717</v>
      </c>
      <c r="D38" s="47">
        <v>5</v>
      </c>
    </row>
    <row r="39" spans="1:4" ht="15.75">
      <c r="A39" s="60" t="s">
        <v>754</v>
      </c>
      <c r="B39" s="62" t="s">
        <v>756</v>
      </c>
      <c r="C39" s="46" t="s">
        <v>717</v>
      </c>
      <c r="D39" s="47">
        <v>7</v>
      </c>
    </row>
    <row r="40" spans="1:4" ht="15.75">
      <c r="A40" s="60" t="s">
        <v>754</v>
      </c>
      <c r="B40" s="53" t="s">
        <v>757</v>
      </c>
      <c r="C40" s="46" t="s">
        <v>717</v>
      </c>
      <c r="D40" s="47">
        <v>7</v>
      </c>
    </row>
    <row r="41" spans="1:4" ht="15.75">
      <c r="A41" s="60" t="s">
        <v>754</v>
      </c>
      <c r="B41" s="53" t="s">
        <v>758</v>
      </c>
      <c r="C41" s="46" t="s">
        <v>717</v>
      </c>
      <c r="D41" s="47">
        <v>7</v>
      </c>
    </row>
    <row r="42" spans="1:4" ht="15.75">
      <c r="A42" s="60" t="s">
        <v>754</v>
      </c>
      <c r="B42" s="53" t="s">
        <v>759</v>
      </c>
      <c r="C42" s="46" t="s">
        <v>717</v>
      </c>
      <c r="D42" s="47">
        <v>7</v>
      </c>
    </row>
    <row r="43" spans="1:4" ht="15.75">
      <c r="A43" s="60" t="s">
        <v>754</v>
      </c>
      <c r="B43" s="53" t="s">
        <v>760</v>
      </c>
      <c r="C43" s="46" t="s">
        <v>717</v>
      </c>
      <c r="D43" s="47">
        <v>7</v>
      </c>
    </row>
    <row r="44" spans="1:4" ht="15.75">
      <c r="A44" s="60" t="s">
        <v>754</v>
      </c>
      <c r="B44" s="53" t="s">
        <v>761</v>
      </c>
      <c r="C44" s="46" t="s">
        <v>717</v>
      </c>
      <c r="D44" s="47">
        <v>7</v>
      </c>
    </row>
    <row r="45" spans="1:4" ht="15.75">
      <c r="A45" s="60" t="s">
        <v>754</v>
      </c>
      <c r="B45" s="53" t="s">
        <v>762</v>
      </c>
      <c r="C45" s="46" t="s">
        <v>717</v>
      </c>
      <c r="D45" s="47">
        <v>7</v>
      </c>
    </row>
    <row r="46" spans="1:4" ht="15.75">
      <c r="A46" s="60" t="s">
        <v>754</v>
      </c>
      <c r="B46" s="53" t="s">
        <v>763</v>
      </c>
      <c r="C46" s="46" t="s">
        <v>717</v>
      </c>
      <c r="D46" s="47">
        <v>7</v>
      </c>
    </row>
    <row r="47" spans="1:4" ht="15.75">
      <c r="A47" s="63" t="s">
        <v>754</v>
      </c>
      <c r="B47" s="61" t="s">
        <v>764</v>
      </c>
      <c r="C47" s="46" t="s">
        <v>717</v>
      </c>
      <c r="D47" s="47">
        <v>9</v>
      </c>
    </row>
    <row r="48" spans="1:4" ht="15.75">
      <c r="A48" s="60" t="s">
        <v>754</v>
      </c>
      <c r="B48" s="58" t="s">
        <v>765</v>
      </c>
      <c r="C48" s="46" t="s">
        <v>717</v>
      </c>
      <c r="D48" s="47">
        <v>6.5</v>
      </c>
    </row>
    <row r="49" spans="1:4" ht="15.75">
      <c r="A49" s="60" t="s">
        <v>754</v>
      </c>
      <c r="B49" s="46" t="s">
        <v>766</v>
      </c>
      <c r="C49" s="46" t="s">
        <v>717</v>
      </c>
      <c r="D49" s="47">
        <v>6</v>
      </c>
    </row>
    <row r="50" spans="1:4" ht="15.75">
      <c r="A50" s="60" t="s">
        <v>754</v>
      </c>
      <c r="B50" s="61" t="s">
        <v>767</v>
      </c>
      <c r="C50" s="46" t="s">
        <v>717</v>
      </c>
      <c r="D50" s="47">
        <v>7</v>
      </c>
    </row>
    <row r="51" spans="1:4" ht="15.75">
      <c r="A51" s="60" t="s">
        <v>754</v>
      </c>
      <c r="B51" s="46" t="s">
        <v>768</v>
      </c>
      <c r="C51" s="46" t="s">
        <v>717</v>
      </c>
      <c r="D51" s="47">
        <v>9.5999999999999872</v>
      </c>
    </row>
    <row r="52" spans="1:4" ht="15.75">
      <c r="A52" s="60" t="s">
        <v>754</v>
      </c>
      <c r="B52" s="61" t="s">
        <v>769</v>
      </c>
      <c r="C52" s="46" t="s">
        <v>717</v>
      </c>
      <c r="D52" s="47">
        <v>5</v>
      </c>
    </row>
    <row r="53" spans="1:4" ht="15.75">
      <c r="A53" s="60" t="s">
        <v>754</v>
      </c>
      <c r="B53" s="46" t="s">
        <v>770</v>
      </c>
      <c r="C53" s="46" t="s">
        <v>717</v>
      </c>
      <c r="D53" s="47">
        <v>6.5</v>
      </c>
    </row>
    <row r="54" spans="1:4" ht="15.75">
      <c r="A54" s="60" t="s">
        <v>754</v>
      </c>
      <c r="B54" s="61" t="s">
        <v>771</v>
      </c>
      <c r="C54" s="46" t="s">
        <v>717</v>
      </c>
      <c r="D54" s="47">
        <v>7</v>
      </c>
    </row>
    <row r="55" spans="1:4" ht="15.75">
      <c r="A55" s="60" t="s">
        <v>754</v>
      </c>
      <c r="B55" s="46" t="s">
        <v>772</v>
      </c>
      <c r="C55" s="46" t="s">
        <v>717</v>
      </c>
      <c r="D55" s="47">
        <v>6</v>
      </c>
    </row>
    <row r="56" spans="1:4" ht="15.75">
      <c r="A56" s="49" t="s">
        <v>773</v>
      </c>
      <c r="B56" s="49" t="s">
        <v>774</v>
      </c>
      <c r="C56" s="46" t="s">
        <v>713</v>
      </c>
      <c r="D56" s="47">
        <v>6.5</v>
      </c>
    </row>
    <row r="57" spans="1:4" ht="15.75">
      <c r="A57" s="49" t="s">
        <v>773</v>
      </c>
      <c r="B57" s="49" t="s">
        <v>775</v>
      </c>
      <c r="C57" s="46" t="s">
        <v>713</v>
      </c>
      <c r="D57" s="47">
        <v>6.5</v>
      </c>
    </row>
    <row r="58" spans="1:4" ht="15.75">
      <c r="A58" s="48" t="s">
        <v>773</v>
      </c>
      <c r="B58" s="48" t="s">
        <v>776</v>
      </c>
      <c r="C58" s="46" t="s">
        <v>713</v>
      </c>
      <c r="D58" s="47">
        <v>6.5</v>
      </c>
    </row>
    <row r="59" spans="1:4" ht="15.75">
      <c r="A59" s="48" t="s">
        <v>773</v>
      </c>
      <c r="B59" s="48" t="s">
        <v>777</v>
      </c>
      <c r="C59" s="46" t="s">
        <v>713</v>
      </c>
      <c r="D59" s="47">
        <v>6.5</v>
      </c>
    </row>
    <row r="60" spans="1:4" ht="15.75">
      <c r="A60" s="48" t="s">
        <v>773</v>
      </c>
      <c r="B60" s="64" t="s">
        <v>778</v>
      </c>
      <c r="C60" s="65" t="s">
        <v>713</v>
      </c>
      <c r="D60" s="47">
        <v>6.5</v>
      </c>
    </row>
    <row r="61" spans="1:4" ht="15.75">
      <c r="A61" s="48" t="s">
        <v>773</v>
      </c>
      <c r="B61" s="48" t="s">
        <v>779</v>
      </c>
      <c r="C61" s="46" t="s">
        <v>713</v>
      </c>
      <c r="D61" s="47">
        <v>6.5</v>
      </c>
    </row>
    <row r="62" spans="1:4" ht="15.75">
      <c r="A62" s="49" t="s">
        <v>773</v>
      </c>
      <c r="B62" s="48" t="s">
        <v>780</v>
      </c>
      <c r="C62" s="52" t="s">
        <v>717</v>
      </c>
      <c r="D62" s="47">
        <v>15.599999999999957</v>
      </c>
    </row>
    <row r="63" spans="1:4" ht="15.75">
      <c r="A63" s="49" t="s">
        <v>773</v>
      </c>
      <c r="B63" s="48" t="s">
        <v>781</v>
      </c>
      <c r="C63" s="52" t="s">
        <v>717</v>
      </c>
      <c r="D63" s="47">
        <v>14.5</v>
      </c>
    </row>
    <row r="64" spans="1:4" ht="15.75">
      <c r="A64" s="49" t="s">
        <v>773</v>
      </c>
      <c r="B64" s="49" t="s">
        <v>782</v>
      </c>
      <c r="C64" s="52" t="s">
        <v>717</v>
      </c>
      <c r="D64" s="47">
        <v>12</v>
      </c>
    </row>
    <row r="65" spans="1:4" ht="15.75">
      <c r="A65" s="49" t="s">
        <v>773</v>
      </c>
      <c r="B65" s="49" t="s">
        <v>783</v>
      </c>
      <c r="C65" s="52" t="s">
        <v>717</v>
      </c>
      <c r="D65" s="47">
        <v>6.5</v>
      </c>
    </row>
    <row r="66" spans="1:4" ht="15.75">
      <c r="A66" s="49" t="s">
        <v>773</v>
      </c>
      <c r="B66" s="49" t="s">
        <v>784</v>
      </c>
      <c r="C66" s="46" t="s">
        <v>717</v>
      </c>
      <c r="D66" s="47">
        <v>6.5</v>
      </c>
    </row>
    <row r="67" spans="1:4" ht="15.75">
      <c r="A67" s="49" t="s">
        <v>773</v>
      </c>
      <c r="B67" s="49" t="s">
        <v>785</v>
      </c>
      <c r="C67" s="52" t="s">
        <v>717</v>
      </c>
      <c r="D67" s="47">
        <v>6.5</v>
      </c>
    </row>
    <row r="68" spans="1:4" ht="15.75">
      <c r="A68" s="49" t="s">
        <v>773</v>
      </c>
      <c r="B68" s="49" t="s">
        <v>786</v>
      </c>
      <c r="C68" s="52" t="s">
        <v>717</v>
      </c>
      <c r="D68" s="47">
        <v>15.599999999999962</v>
      </c>
    </row>
    <row r="69" spans="1:4" ht="15.75">
      <c r="A69" s="49" t="s">
        <v>773</v>
      </c>
      <c r="B69" s="49" t="s">
        <v>787</v>
      </c>
      <c r="C69" s="53" t="s">
        <v>726</v>
      </c>
      <c r="D69" s="47">
        <v>6.5</v>
      </c>
    </row>
    <row r="70" spans="1:4" ht="15.75">
      <c r="A70" s="49" t="s">
        <v>773</v>
      </c>
      <c r="B70" s="49" t="s">
        <v>788</v>
      </c>
      <c r="C70" s="55" t="s">
        <v>728</v>
      </c>
      <c r="D70" s="47">
        <v>6.5</v>
      </c>
    </row>
    <row r="71" spans="1:4" ht="15.75">
      <c r="A71" s="49" t="s">
        <v>773</v>
      </c>
      <c r="B71" s="66" t="s">
        <v>789</v>
      </c>
      <c r="C71" s="67" t="s">
        <v>728</v>
      </c>
      <c r="D71" s="47">
        <v>6.5</v>
      </c>
    </row>
    <row r="72" spans="1:4" ht="15.75">
      <c r="A72" s="49" t="s">
        <v>773</v>
      </c>
      <c r="B72" s="45" t="s">
        <v>790</v>
      </c>
      <c r="C72" s="55" t="s">
        <v>728</v>
      </c>
      <c r="D72" s="47">
        <v>9.5</v>
      </c>
    </row>
    <row r="73" spans="1:4" ht="15.75">
      <c r="A73" s="49" t="s">
        <v>773</v>
      </c>
      <c r="B73" s="48" t="s">
        <v>791</v>
      </c>
      <c r="C73" s="55" t="s">
        <v>728</v>
      </c>
      <c r="D73" s="47">
        <v>11.5</v>
      </c>
    </row>
    <row r="74" spans="1:4" ht="15.75">
      <c r="A74" s="49" t="s">
        <v>773</v>
      </c>
      <c r="B74" s="49" t="s">
        <v>792</v>
      </c>
      <c r="C74" s="55" t="s">
        <v>728</v>
      </c>
      <c r="D74" s="47">
        <v>11.5</v>
      </c>
    </row>
    <row r="75" spans="1:4" ht="15.75">
      <c r="A75" s="49" t="s">
        <v>773</v>
      </c>
      <c r="B75" s="49" t="s">
        <v>793</v>
      </c>
      <c r="C75" s="55" t="s">
        <v>728</v>
      </c>
      <c r="D75" s="47">
        <v>11.5</v>
      </c>
    </row>
    <row r="76" spans="1:4" ht="15.75">
      <c r="A76" s="49" t="s">
        <v>773</v>
      </c>
      <c r="B76" s="45" t="s">
        <v>794</v>
      </c>
      <c r="C76" s="55" t="s">
        <v>728</v>
      </c>
      <c r="D76" s="47">
        <v>6.5</v>
      </c>
    </row>
    <row r="77" spans="1:4" ht="15.75">
      <c r="A77" s="49" t="s">
        <v>773</v>
      </c>
      <c r="B77" s="49" t="s">
        <v>795</v>
      </c>
      <c r="C77" s="53" t="s">
        <v>728</v>
      </c>
      <c r="D77" s="47">
        <v>16</v>
      </c>
    </row>
    <row r="78" spans="1:4" ht="15.75">
      <c r="A78" s="49" t="s">
        <v>773</v>
      </c>
      <c r="B78" s="49" t="s">
        <v>796</v>
      </c>
      <c r="C78" s="53" t="s">
        <v>728</v>
      </c>
      <c r="D78" s="47">
        <v>9.5</v>
      </c>
    </row>
    <row r="79" spans="1:4" ht="15.75">
      <c r="A79" s="49" t="s">
        <v>773</v>
      </c>
      <c r="B79" s="48" t="s">
        <v>797</v>
      </c>
      <c r="C79" s="55" t="s">
        <v>728</v>
      </c>
      <c r="D79" s="47">
        <v>13.5</v>
      </c>
    </row>
    <row r="80" spans="1:4" ht="15.75">
      <c r="A80" s="49" t="s">
        <v>773</v>
      </c>
      <c r="B80" s="49" t="s">
        <v>798</v>
      </c>
      <c r="C80" s="53" t="s">
        <v>728</v>
      </c>
      <c r="D80" s="47">
        <v>6.5</v>
      </c>
    </row>
    <row r="81" spans="1:4" ht="15.75">
      <c r="A81" s="49" t="s">
        <v>773</v>
      </c>
      <c r="B81" s="49" t="s">
        <v>799</v>
      </c>
      <c r="C81" s="52" t="s">
        <v>737</v>
      </c>
      <c r="D81" s="47">
        <v>14.5</v>
      </c>
    </row>
    <row r="82" spans="1:4" ht="15.75">
      <c r="A82" s="49" t="s">
        <v>800</v>
      </c>
      <c r="B82" s="49" t="s">
        <v>801</v>
      </c>
      <c r="C82" s="46" t="s">
        <v>713</v>
      </c>
      <c r="D82" s="47">
        <v>16.400000000000045</v>
      </c>
    </row>
    <row r="83" spans="1:4" ht="15.75">
      <c r="A83" s="49" t="s">
        <v>800</v>
      </c>
      <c r="B83" s="49" t="s">
        <v>802</v>
      </c>
      <c r="C83" s="52" t="s">
        <v>713</v>
      </c>
      <c r="D83" s="47">
        <v>16.400000000000009</v>
      </c>
    </row>
    <row r="84" spans="1:4" ht="15.75">
      <c r="A84" s="49" t="s">
        <v>800</v>
      </c>
      <c r="B84" s="49" t="s">
        <v>803</v>
      </c>
      <c r="C84" s="52" t="s">
        <v>713</v>
      </c>
      <c r="D84" s="47">
        <v>16.400000000000038</v>
      </c>
    </row>
    <row r="85" spans="1:4" ht="15.75">
      <c r="A85" s="49" t="s">
        <v>800</v>
      </c>
      <c r="B85" s="49" t="s">
        <v>804</v>
      </c>
      <c r="C85" s="52" t="s">
        <v>713</v>
      </c>
      <c r="D85" s="47">
        <v>16.400000000000038</v>
      </c>
    </row>
    <row r="86" spans="1:4" ht="15.75">
      <c r="A86" s="49" t="s">
        <v>800</v>
      </c>
      <c r="B86" s="49" t="s">
        <v>805</v>
      </c>
      <c r="C86" s="52" t="s">
        <v>713</v>
      </c>
      <c r="D86" s="47">
        <v>16.400000000000038</v>
      </c>
    </row>
    <row r="87" spans="1:4" ht="15.75">
      <c r="A87" s="49" t="s">
        <v>800</v>
      </c>
      <c r="B87" s="49" t="s">
        <v>806</v>
      </c>
      <c r="C87" s="52" t="s">
        <v>713</v>
      </c>
      <c r="D87" s="47">
        <v>16.400000000000038</v>
      </c>
    </row>
    <row r="88" spans="1:4" ht="15.75">
      <c r="A88" s="49" t="s">
        <v>800</v>
      </c>
      <c r="B88" s="49" t="s">
        <v>807</v>
      </c>
      <c r="C88" s="46" t="s">
        <v>717</v>
      </c>
      <c r="D88" s="47">
        <v>16.5</v>
      </c>
    </row>
    <row r="89" spans="1:4" ht="15.75">
      <c r="A89" s="49" t="s">
        <v>800</v>
      </c>
      <c r="B89" s="49" t="s">
        <v>808</v>
      </c>
      <c r="C89" s="53" t="s">
        <v>717</v>
      </c>
      <c r="D89" s="47">
        <v>22</v>
      </c>
    </row>
    <row r="90" spans="1:4" ht="15.75">
      <c r="A90" s="49" t="s">
        <v>800</v>
      </c>
      <c r="B90" s="49" t="s">
        <v>809</v>
      </c>
      <c r="C90" s="53" t="s">
        <v>717</v>
      </c>
      <c r="D90" s="47">
        <v>16.400000000000038</v>
      </c>
    </row>
    <row r="91" spans="1:4" ht="15.75">
      <c r="A91" s="49" t="s">
        <v>800</v>
      </c>
      <c r="B91" s="49" t="s">
        <v>810</v>
      </c>
      <c r="C91" s="53" t="s">
        <v>717</v>
      </c>
      <c r="D91" s="47">
        <v>20.5</v>
      </c>
    </row>
    <row r="92" spans="1:4" ht="15.75">
      <c r="A92" s="49" t="s">
        <v>800</v>
      </c>
      <c r="B92" s="49" t="s">
        <v>811</v>
      </c>
      <c r="C92" s="53" t="s">
        <v>717</v>
      </c>
      <c r="D92" s="47">
        <v>20.5</v>
      </c>
    </row>
    <row r="93" spans="1:4" ht="15.75">
      <c r="A93" s="49" t="s">
        <v>800</v>
      </c>
      <c r="B93" s="49" t="s">
        <v>812</v>
      </c>
      <c r="C93" s="53" t="s">
        <v>717</v>
      </c>
      <c r="D93" s="47">
        <v>20.5</v>
      </c>
    </row>
    <row r="94" spans="1:4" ht="15.75">
      <c r="A94" s="49" t="s">
        <v>800</v>
      </c>
      <c r="B94" s="49" t="s">
        <v>813</v>
      </c>
      <c r="C94" s="52" t="s">
        <v>717</v>
      </c>
      <c r="D94" s="47">
        <v>16.400000000000045</v>
      </c>
    </row>
    <row r="95" spans="1:4" ht="15.75">
      <c r="A95" s="49" t="s">
        <v>800</v>
      </c>
      <c r="B95" s="49" t="s">
        <v>814</v>
      </c>
      <c r="C95" s="55" t="s">
        <v>724</v>
      </c>
      <c r="D95" s="47">
        <v>13.799999999999992</v>
      </c>
    </row>
    <row r="96" spans="1:4" ht="15.75">
      <c r="A96" s="49" t="s">
        <v>800</v>
      </c>
      <c r="B96" s="49" t="s">
        <v>815</v>
      </c>
      <c r="C96" s="55" t="s">
        <v>724</v>
      </c>
      <c r="D96" s="47">
        <v>12.5</v>
      </c>
    </row>
    <row r="97" spans="1:4" ht="15.75">
      <c r="A97" s="49" t="s">
        <v>800</v>
      </c>
      <c r="B97" s="60" t="s">
        <v>816</v>
      </c>
      <c r="C97" s="52" t="s">
        <v>726</v>
      </c>
      <c r="D97" s="47">
        <v>7</v>
      </c>
    </row>
    <row r="98" spans="1:4" ht="15.75">
      <c r="A98" s="49" t="s">
        <v>800</v>
      </c>
      <c r="B98" s="48" t="s">
        <v>817</v>
      </c>
      <c r="C98" s="52" t="s">
        <v>728</v>
      </c>
      <c r="D98" s="47">
        <v>16.400000000000038</v>
      </c>
    </row>
    <row r="99" spans="1:4" ht="15.75">
      <c r="A99" s="49" t="s">
        <v>800</v>
      </c>
      <c r="B99" s="60" t="s">
        <v>818</v>
      </c>
      <c r="C99" s="53" t="s">
        <v>728</v>
      </c>
      <c r="D99" s="47">
        <v>10</v>
      </c>
    </row>
    <row r="100" spans="1:4" ht="15.75">
      <c r="A100" s="49" t="s">
        <v>800</v>
      </c>
      <c r="B100" s="49" t="s">
        <v>819</v>
      </c>
      <c r="C100" s="53" t="s">
        <v>728</v>
      </c>
      <c r="D100" s="47">
        <v>10</v>
      </c>
    </row>
    <row r="101" spans="1:4" ht="15.75">
      <c r="A101" s="49" t="s">
        <v>800</v>
      </c>
      <c r="B101" s="49" t="s">
        <v>820</v>
      </c>
      <c r="C101" s="52" t="s">
        <v>728</v>
      </c>
      <c r="D101" s="47">
        <v>16.400000000000041</v>
      </c>
    </row>
    <row r="102" spans="1:4" ht="15.75">
      <c r="A102" s="45" t="s">
        <v>800</v>
      </c>
      <c r="B102" s="54" t="s">
        <v>821</v>
      </c>
      <c r="C102" s="61" t="s">
        <v>728</v>
      </c>
      <c r="D102" s="47">
        <v>15.400000000000041</v>
      </c>
    </row>
    <row r="103" spans="1:4" ht="15.75">
      <c r="A103" s="49" t="s">
        <v>800</v>
      </c>
      <c r="B103" s="48" t="s">
        <v>822</v>
      </c>
      <c r="C103" s="55" t="s">
        <v>728</v>
      </c>
      <c r="D103" s="47">
        <v>16.400000000000041</v>
      </c>
    </row>
    <row r="104" spans="1:4" ht="15.75">
      <c r="A104" s="49" t="s">
        <v>800</v>
      </c>
      <c r="B104" s="49" t="s">
        <v>823</v>
      </c>
      <c r="C104" s="53" t="s">
        <v>728</v>
      </c>
      <c r="D104" s="47">
        <v>17.400000000000041</v>
      </c>
    </row>
    <row r="105" spans="1:4" ht="15.75">
      <c r="A105" s="49" t="s">
        <v>800</v>
      </c>
      <c r="B105" s="60" t="s">
        <v>824</v>
      </c>
      <c r="C105" s="52" t="s">
        <v>728</v>
      </c>
      <c r="D105" s="47">
        <v>16.400000000000041</v>
      </c>
    </row>
    <row r="106" spans="1:4" ht="15.75">
      <c r="A106" s="49" t="s">
        <v>800</v>
      </c>
      <c r="B106" s="60" t="s">
        <v>825</v>
      </c>
      <c r="C106" s="53" t="s">
        <v>728</v>
      </c>
      <c r="D106" s="47">
        <v>13.400000000000032</v>
      </c>
    </row>
    <row r="107" spans="1:4" ht="15.75">
      <c r="A107" s="49" t="s">
        <v>800</v>
      </c>
      <c r="B107" s="49" t="s">
        <v>826</v>
      </c>
      <c r="C107" s="52" t="s">
        <v>728</v>
      </c>
      <c r="D107" s="47">
        <v>18</v>
      </c>
    </row>
    <row r="108" spans="1:4" ht="15.75">
      <c r="A108" s="49" t="s">
        <v>800</v>
      </c>
      <c r="B108" s="49" t="s">
        <v>827</v>
      </c>
      <c r="C108" s="53" t="s">
        <v>728</v>
      </c>
      <c r="D108" s="47">
        <v>18</v>
      </c>
    </row>
    <row r="109" spans="1:4" ht="15.75">
      <c r="A109" s="49" t="s">
        <v>800</v>
      </c>
      <c r="B109" s="49" t="s">
        <v>828</v>
      </c>
      <c r="C109" s="53" t="s">
        <v>728</v>
      </c>
      <c r="D109" s="47">
        <v>12.5</v>
      </c>
    </row>
    <row r="110" spans="1:4" ht="15.75">
      <c r="A110" s="49" t="s">
        <v>800</v>
      </c>
      <c r="B110" s="49" t="s">
        <v>829</v>
      </c>
      <c r="C110" s="53" t="s">
        <v>728</v>
      </c>
      <c r="D110" s="47">
        <v>18</v>
      </c>
    </row>
    <row r="111" spans="1:4" ht="15.75">
      <c r="A111" s="49" t="s">
        <v>800</v>
      </c>
      <c r="B111" s="49" t="s">
        <v>830</v>
      </c>
      <c r="C111" s="53" t="s">
        <v>728</v>
      </c>
      <c r="D111" s="47">
        <v>18.599999999999955</v>
      </c>
    </row>
    <row r="112" spans="1:4" ht="15.75">
      <c r="A112" s="49" t="s">
        <v>800</v>
      </c>
      <c r="B112" s="49" t="s">
        <v>831</v>
      </c>
      <c r="C112" s="53" t="s">
        <v>728</v>
      </c>
      <c r="D112" s="47">
        <v>18.599999999999955</v>
      </c>
    </row>
    <row r="113" spans="1:4" ht="15.75">
      <c r="A113" s="49" t="s">
        <v>800</v>
      </c>
      <c r="B113" s="60" t="s">
        <v>832</v>
      </c>
      <c r="C113" s="53" t="s">
        <v>728</v>
      </c>
      <c r="D113" s="47">
        <v>18.599999999999955</v>
      </c>
    </row>
    <row r="114" spans="1:4" ht="15.75">
      <c r="A114" s="49" t="s">
        <v>800</v>
      </c>
      <c r="B114" s="60" t="s">
        <v>833</v>
      </c>
      <c r="C114" s="53" t="s">
        <v>728</v>
      </c>
      <c r="D114" s="47">
        <v>14.200000000000029</v>
      </c>
    </row>
    <row r="115" spans="1:4" ht="15.75">
      <c r="A115" s="49" t="s">
        <v>800</v>
      </c>
      <c r="B115" s="49" t="s">
        <v>834</v>
      </c>
      <c r="C115" s="52" t="s">
        <v>728</v>
      </c>
      <c r="D115" s="47">
        <v>16.400000000000038</v>
      </c>
    </row>
    <row r="116" spans="1:4" ht="15.75">
      <c r="A116" s="49" t="s">
        <v>800</v>
      </c>
      <c r="B116" s="49" t="s">
        <v>835</v>
      </c>
      <c r="C116" s="53" t="s">
        <v>728</v>
      </c>
      <c r="D116" s="47">
        <v>17.400000000000041</v>
      </c>
    </row>
    <row r="117" spans="1:4" ht="15.75">
      <c r="A117" s="49" t="s">
        <v>800</v>
      </c>
      <c r="B117" s="49" t="s">
        <v>836</v>
      </c>
      <c r="C117" s="53" t="s">
        <v>728</v>
      </c>
      <c r="D117" s="47">
        <v>16.400000000000041</v>
      </c>
    </row>
    <row r="118" spans="1:4" ht="15.75">
      <c r="A118" s="49" t="s">
        <v>800</v>
      </c>
      <c r="B118" s="49" t="s">
        <v>837</v>
      </c>
      <c r="C118" s="52" t="s">
        <v>728</v>
      </c>
      <c r="D118" s="47">
        <v>12</v>
      </c>
    </row>
    <row r="119" spans="1:4" ht="15.75">
      <c r="A119" s="49" t="s">
        <v>800</v>
      </c>
      <c r="B119" s="60" t="s">
        <v>838</v>
      </c>
      <c r="C119" s="52" t="s">
        <v>737</v>
      </c>
      <c r="D119" s="47">
        <v>12.599999999999978</v>
      </c>
    </row>
    <row r="120" spans="1:4" ht="15.75">
      <c r="A120" s="49" t="s">
        <v>800</v>
      </c>
      <c r="B120" s="49" t="s">
        <v>839</v>
      </c>
      <c r="C120" s="52" t="s">
        <v>737</v>
      </c>
      <c r="D120" s="47">
        <v>14.900000000000036</v>
      </c>
    </row>
    <row r="121" spans="1:4" ht="15.75">
      <c r="A121" s="48" t="s">
        <v>840</v>
      </c>
      <c r="B121" s="48" t="s">
        <v>841</v>
      </c>
      <c r="C121" s="53" t="s">
        <v>717</v>
      </c>
      <c r="D121" s="47">
        <v>12</v>
      </c>
    </row>
    <row r="122" spans="1:4" ht="15.75">
      <c r="A122" s="48" t="s">
        <v>840</v>
      </c>
      <c r="B122" s="48" t="s">
        <v>842</v>
      </c>
      <c r="C122" s="52" t="s">
        <v>717</v>
      </c>
      <c r="D122" s="47">
        <v>8</v>
      </c>
    </row>
    <row r="123" spans="1:4" ht="15.75">
      <c r="A123" s="48" t="s">
        <v>840</v>
      </c>
      <c r="B123" s="45" t="s">
        <v>843</v>
      </c>
      <c r="C123" s="52" t="s">
        <v>728</v>
      </c>
      <c r="D123" s="47">
        <v>12.5</v>
      </c>
    </row>
    <row r="124" spans="1:4" ht="15.75">
      <c r="A124" s="48" t="s">
        <v>840</v>
      </c>
      <c r="B124" s="45" t="s">
        <v>844</v>
      </c>
      <c r="C124" s="52" t="s">
        <v>728</v>
      </c>
      <c r="D124" s="47">
        <v>12.5</v>
      </c>
    </row>
    <row r="125" spans="1:4" ht="15.75">
      <c r="A125" s="48" t="s">
        <v>840</v>
      </c>
      <c r="B125" s="54" t="s">
        <v>845</v>
      </c>
      <c r="C125" s="52" t="s">
        <v>728</v>
      </c>
      <c r="D125" s="47">
        <v>8.6000000000000068</v>
      </c>
    </row>
    <row r="126" spans="1:4" ht="15.75">
      <c r="A126" s="48" t="s">
        <v>840</v>
      </c>
      <c r="B126" s="48" t="s">
        <v>846</v>
      </c>
      <c r="C126" s="53" t="s">
        <v>728</v>
      </c>
      <c r="D126" s="47">
        <v>12.5</v>
      </c>
    </row>
    <row r="127" spans="1:4" ht="15.75">
      <c r="A127" s="48" t="s">
        <v>840</v>
      </c>
      <c r="B127" s="54" t="s">
        <v>847</v>
      </c>
      <c r="C127" s="52" t="s">
        <v>728</v>
      </c>
      <c r="D127" s="47">
        <v>8.6000000000000103</v>
      </c>
    </row>
    <row r="128" spans="1:4" ht="15.75">
      <c r="A128" s="48" t="s">
        <v>840</v>
      </c>
      <c r="B128" s="45" t="s">
        <v>848</v>
      </c>
      <c r="C128" s="52" t="s">
        <v>728</v>
      </c>
      <c r="D128" s="47">
        <v>8</v>
      </c>
    </row>
    <row r="129" spans="1:4" ht="15.75">
      <c r="A129" s="49" t="s">
        <v>849</v>
      </c>
      <c r="B129" s="49" t="s">
        <v>850</v>
      </c>
      <c r="C129" s="52" t="s">
        <v>728</v>
      </c>
      <c r="D129" s="47">
        <v>9</v>
      </c>
    </row>
    <row r="130" spans="1:4" ht="15.75">
      <c r="A130" s="49" t="s">
        <v>849</v>
      </c>
      <c r="B130" s="49" t="s">
        <v>851</v>
      </c>
      <c r="C130" s="46" t="s">
        <v>713</v>
      </c>
      <c r="D130" s="47">
        <v>12.5</v>
      </c>
    </row>
    <row r="131" spans="1:4" ht="15.75">
      <c r="A131" s="49" t="s">
        <v>849</v>
      </c>
      <c r="B131" s="49" t="s">
        <v>852</v>
      </c>
      <c r="C131" s="46" t="s">
        <v>713</v>
      </c>
      <c r="D131" s="47">
        <v>12.5</v>
      </c>
    </row>
    <row r="132" spans="1:4" ht="15.75">
      <c r="A132" s="49" t="s">
        <v>849</v>
      </c>
      <c r="B132" s="49" t="s">
        <v>853</v>
      </c>
      <c r="C132" s="46" t="s">
        <v>713</v>
      </c>
      <c r="D132" s="47">
        <v>12.5</v>
      </c>
    </row>
    <row r="133" spans="1:4" ht="15.75">
      <c r="A133" s="49" t="s">
        <v>849</v>
      </c>
      <c r="B133" s="48" t="s">
        <v>854</v>
      </c>
      <c r="C133" s="52" t="s">
        <v>717</v>
      </c>
      <c r="D133" s="47">
        <v>9</v>
      </c>
    </row>
    <row r="134" spans="1:4" ht="15.75">
      <c r="A134" s="49" t="s">
        <v>849</v>
      </c>
      <c r="B134" s="63" t="s">
        <v>855</v>
      </c>
      <c r="C134" s="46" t="s">
        <v>717</v>
      </c>
      <c r="D134" s="47">
        <v>5.6000000000000121</v>
      </c>
    </row>
    <row r="135" spans="1:4" ht="15.75">
      <c r="A135" s="49" t="s">
        <v>849</v>
      </c>
      <c r="B135" s="63" t="s">
        <v>856</v>
      </c>
      <c r="C135" s="46" t="s">
        <v>717</v>
      </c>
      <c r="D135" s="47">
        <v>5.6000000000000139</v>
      </c>
    </row>
    <row r="136" spans="1:4" ht="15.75">
      <c r="A136" s="49" t="s">
        <v>849</v>
      </c>
      <c r="B136" s="49" t="s">
        <v>857</v>
      </c>
      <c r="C136" s="52" t="s">
        <v>724</v>
      </c>
      <c r="D136" s="47">
        <v>6.1000000000000147</v>
      </c>
    </row>
    <row r="137" spans="1:4" ht="15.75">
      <c r="A137" s="49" t="s">
        <v>849</v>
      </c>
      <c r="B137" s="63" t="s">
        <v>858</v>
      </c>
      <c r="C137" s="46" t="s">
        <v>724</v>
      </c>
      <c r="D137" s="47">
        <v>9</v>
      </c>
    </row>
    <row r="138" spans="1:4" ht="15.75">
      <c r="A138" s="49" t="s">
        <v>849</v>
      </c>
      <c r="B138" s="49" t="s">
        <v>859</v>
      </c>
      <c r="C138" s="52" t="s">
        <v>724</v>
      </c>
      <c r="D138" s="47">
        <v>9</v>
      </c>
    </row>
    <row r="139" spans="1:4" ht="15.75">
      <c r="A139" s="49" t="s">
        <v>849</v>
      </c>
      <c r="B139" s="63" t="s">
        <v>860</v>
      </c>
      <c r="C139" s="52" t="s">
        <v>728</v>
      </c>
      <c r="D139" s="47">
        <v>6.1000000000000076</v>
      </c>
    </row>
    <row r="140" spans="1:4" ht="15.75">
      <c r="A140" s="49" t="s">
        <v>849</v>
      </c>
      <c r="B140" s="49" t="s">
        <v>861</v>
      </c>
      <c r="C140" s="52" t="s">
        <v>728</v>
      </c>
      <c r="D140" s="47">
        <v>6.1000000000000014</v>
      </c>
    </row>
    <row r="141" spans="1:4" ht="15.75">
      <c r="A141" s="49" t="s">
        <v>849</v>
      </c>
      <c r="B141" s="45" t="s">
        <v>862</v>
      </c>
      <c r="C141" s="52" t="s">
        <v>728</v>
      </c>
      <c r="D141" s="47">
        <v>6.1000000000000121</v>
      </c>
    </row>
    <row r="142" spans="1:4" ht="15.75">
      <c r="A142" s="49" t="s">
        <v>849</v>
      </c>
      <c r="B142" s="45" t="s">
        <v>863</v>
      </c>
      <c r="C142" s="46" t="s">
        <v>728</v>
      </c>
      <c r="D142" s="47">
        <v>5.6</v>
      </c>
    </row>
    <row r="143" spans="1:4" ht="15.75">
      <c r="A143" s="49" t="s">
        <v>849</v>
      </c>
      <c r="B143" s="48" t="s">
        <v>864</v>
      </c>
      <c r="C143" s="52" t="s">
        <v>728</v>
      </c>
      <c r="D143" s="47">
        <v>9</v>
      </c>
    </row>
    <row r="144" spans="1:4" ht="15.75">
      <c r="A144" s="49" t="s">
        <v>849</v>
      </c>
      <c r="B144" s="49" t="s">
        <v>865</v>
      </c>
      <c r="C144" s="52" t="s">
        <v>737</v>
      </c>
      <c r="D144" s="47">
        <v>5</v>
      </c>
    </row>
    <row r="145" spans="1:4" ht="15.75">
      <c r="A145" s="49" t="s">
        <v>849</v>
      </c>
      <c r="B145" s="49" t="s">
        <v>866</v>
      </c>
      <c r="C145" s="52" t="s">
        <v>737</v>
      </c>
      <c r="D145" s="47">
        <v>9</v>
      </c>
    </row>
    <row r="146" spans="1:4" ht="15.75">
      <c r="A146" s="45" t="s">
        <v>867</v>
      </c>
      <c r="B146" s="68" t="s">
        <v>868</v>
      </c>
      <c r="C146" s="46" t="s">
        <v>869</v>
      </c>
      <c r="D146" s="47">
        <v>8</v>
      </c>
    </row>
    <row r="147" spans="1:4" ht="15.75">
      <c r="A147" s="45" t="s">
        <v>870</v>
      </c>
      <c r="B147" s="69" t="s">
        <v>871</v>
      </c>
      <c r="C147" s="46" t="s">
        <v>728</v>
      </c>
      <c r="D147" s="47">
        <v>4</v>
      </c>
    </row>
    <row r="148" spans="1:4" ht="15.75">
      <c r="A148" s="45" t="s">
        <v>872</v>
      </c>
      <c r="B148" s="68" t="s">
        <v>873</v>
      </c>
      <c r="C148" s="46" t="s">
        <v>728</v>
      </c>
      <c r="D148" s="47">
        <v>8.7999999999999776</v>
      </c>
    </row>
    <row r="149" spans="1:4" ht="15.75">
      <c r="A149" s="45" t="s">
        <v>874</v>
      </c>
      <c r="B149" s="70" t="s">
        <v>875</v>
      </c>
      <c r="C149" s="53" t="s">
        <v>876</v>
      </c>
      <c r="D149" s="47">
        <v>10.6</v>
      </c>
    </row>
    <row r="150" spans="1:4" ht="15.75">
      <c r="A150" s="45" t="s">
        <v>877</v>
      </c>
      <c r="B150" s="59" t="s">
        <v>878</v>
      </c>
      <c r="C150" s="53" t="s">
        <v>876</v>
      </c>
      <c r="D150" s="47">
        <v>8</v>
      </c>
    </row>
    <row r="151" spans="1:4" ht="15.75">
      <c r="A151" s="45" t="s">
        <v>879</v>
      </c>
      <c r="B151" s="68" t="s">
        <v>880</v>
      </c>
      <c r="C151" s="46" t="s">
        <v>728</v>
      </c>
      <c r="D151" s="47">
        <v>7</v>
      </c>
    </row>
    <row r="152" spans="1:4" ht="15.75">
      <c r="A152" s="45" t="s">
        <v>881</v>
      </c>
      <c r="B152" s="68" t="s">
        <v>882</v>
      </c>
      <c r="C152" s="46" t="s">
        <v>728</v>
      </c>
      <c r="D152" s="47">
        <v>8.7999999999999776</v>
      </c>
    </row>
    <row r="153" spans="1:4" ht="15.75">
      <c r="A153" s="45" t="s">
        <v>881</v>
      </c>
      <c r="B153" s="70" t="s">
        <v>883</v>
      </c>
      <c r="C153" s="53" t="s">
        <v>876</v>
      </c>
      <c r="D153" s="47">
        <v>8.7999999999999776</v>
      </c>
    </row>
    <row r="154" spans="1:4" ht="15.75">
      <c r="A154" s="45" t="s">
        <v>884</v>
      </c>
      <c r="B154" s="70" t="s">
        <v>885</v>
      </c>
      <c r="C154" s="53" t="s">
        <v>876</v>
      </c>
      <c r="D154" s="47">
        <v>7</v>
      </c>
    </row>
    <row r="155" spans="1:4" ht="15.75">
      <c r="A155" s="45" t="s">
        <v>886</v>
      </c>
      <c r="B155" s="68" t="s">
        <v>887</v>
      </c>
      <c r="C155" s="46" t="s">
        <v>728</v>
      </c>
      <c r="D155" s="47">
        <v>10</v>
      </c>
    </row>
    <row r="156" spans="1:4" ht="15.75">
      <c r="A156" s="45" t="s">
        <v>881</v>
      </c>
      <c r="B156" s="68" t="s">
        <v>888</v>
      </c>
      <c r="C156" s="46" t="s">
        <v>728</v>
      </c>
      <c r="D156" s="47">
        <v>8.7999999999999776</v>
      </c>
    </row>
    <row r="157" spans="1:4" ht="15.75">
      <c r="A157" s="45" t="s">
        <v>881</v>
      </c>
      <c r="B157" s="70" t="s">
        <v>889</v>
      </c>
      <c r="C157" s="53" t="s">
        <v>876</v>
      </c>
      <c r="D157" s="47">
        <v>8.7999999999999776</v>
      </c>
    </row>
    <row r="158" spans="1:4" ht="15.75">
      <c r="A158" s="45" t="s">
        <v>890</v>
      </c>
      <c r="B158" s="68" t="s">
        <v>891</v>
      </c>
      <c r="C158" s="46" t="s">
        <v>724</v>
      </c>
      <c r="D158" s="47">
        <v>9.4</v>
      </c>
    </row>
    <row r="159" spans="1:4" ht="15.75">
      <c r="A159" s="45" t="s">
        <v>867</v>
      </c>
      <c r="B159" s="68" t="s">
        <v>892</v>
      </c>
      <c r="C159" s="46" t="s">
        <v>728</v>
      </c>
      <c r="D159" s="47">
        <v>8.5</v>
      </c>
    </row>
    <row r="160" spans="1:4" ht="15.75">
      <c r="A160" s="45" t="s">
        <v>867</v>
      </c>
      <c r="B160" s="71" t="s">
        <v>893</v>
      </c>
      <c r="C160" s="46" t="s">
        <v>728</v>
      </c>
      <c r="D160" s="47">
        <v>8.5</v>
      </c>
    </row>
    <row r="161" spans="1:4" ht="15.75">
      <c r="A161" s="45" t="s">
        <v>886</v>
      </c>
      <c r="B161" s="69" t="s">
        <v>894</v>
      </c>
      <c r="C161" s="46" t="s">
        <v>728</v>
      </c>
      <c r="D161" s="47">
        <v>10</v>
      </c>
    </row>
    <row r="162" spans="1:4" ht="15.75">
      <c r="A162" s="45" t="s">
        <v>870</v>
      </c>
      <c r="B162" s="69" t="s">
        <v>895</v>
      </c>
      <c r="C162" s="46" t="s">
        <v>728</v>
      </c>
      <c r="D162" s="47">
        <v>4</v>
      </c>
    </row>
    <row r="163" spans="1:4" ht="15.75">
      <c r="A163" s="45" t="s">
        <v>872</v>
      </c>
      <c r="B163" s="72" t="s">
        <v>896</v>
      </c>
      <c r="C163" s="53" t="s">
        <v>876</v>
      </c>
      <c r="D163" s="47">
        <v>8.8000000000000007</v>
      </c>
    </row>
    <row r="164" spans="1:4" ht="15.75">
      <c r="A164" s="45" t="s">
        <v>881</v>
      </c>
      <c r="B164" s="69" t="s">
        <v>897</v>
      </c>
      <c r="C164" s="46" t="s">
        <v>728</v>
      </c>
      <c r="D164" s="47">
        <v>17.599999999999959</v>
      </c>
    </row>
    <row r="165" spans="1:4" ht="15.75">
      <c r="A165" s="45" t="s">
        <v>898</v>
      </c>
      <c r="B165" s="70" t="s">
        <v>899</v>
      </c>
      <c r="C165" s="53" t="s">
        <v>876</v>
      </c>
      <c r="D165" s="47">
        <v>8.7999999999999776</v>
      </c>
    </row>
    <row r="166" spans="1:4" ht="15.75">
      <c r="A166" s="45" t="s">
        <v>898</v>
      </c>
      <c r="B166" s="70" t="s">
        <v>900</v>
      </c>
      <c r="C166" s="53" t="s">
        <v>876</v>
      </c>
      <c r="D166" s="47">
        <v>8.7999999999999776</v>
      </c>
    </row>
    <row r="167" spans="1:4" ht="15.75">
      <c r="A167" s="45" t="s">
        <v>870</v>
      </c>
      <c r="B167" s="68" t="s">
        <v>901</v>
      </c>
      <c r="C167" s="46" t="s">
        <v>728</v>
      </c>
      <c r="D167" s="47">
        <v>4</v>
      </c>
    </row>
    <row r="168" spans="1:4" ht="15.75">
      <c r="A168" s="45" t="s">
        <v>874</v>
      </c>
      <c r="B168" s="70" t="s">
        <v>902</v>
      </c>
      <c r="C168" s="53" t="s">
        <v>876</v>
      </c>
      <c r="D168" s="47">
        <v>17.600000000000012</v>
      </c>
    </row>
    <row r="169" spans="1:4" ht="15.75">
      <c r="A169" s="45" t="s">
        <v>903</v>
      </c>
      <c r="B169" s="70" t="s">
        <v>904</v>
      </c>
      <c r="C169" s="53" t="s">
        <v>876</v>
      </c>
      <c r="D169" s="47">
        <v>7</v>
      </c>
    </row>
    <row r="170" spans="1:4" ht="15.75">
      <c r="A170" s="45" t="s">
        <v>881</v>
      </c>
      <c r="B170" s="70" t="s">
        <v>905</v>
      </c>
      <c r="C170" s="53" t="s">
        <v>876</v>
      </c>
      <c r="D170" s="47">
        <v>8.7999999999999776</v>
      </c>
    </row>
    <row r="171" spans="1:4" ht="15.75">
      <c r="A171" s="45" t="s">
        <v>881</v>
      </c>
      <c r="B171" s="70" t="s">
        <v>906</v>
      </c>
      <c r="C171" s="53" t="s">
        <v>876</v>
      </c>
      <c r="D171" s="47">
        <v>8.7999999999999776</v>
      </c>
    </row>
    <row r="172" spans="1:4" ht="15.75">
      <c r="A172" s="45" t="s">
        <v>907</v>
      </c>
      <c r="B172" s="72" t="s">
        <v>908</v>
      </c>
      <c r="C172" s="53" t="s">
        <v>876</v>
      </c>
      <c r="D172" s="47">
        <v>8.7999999999999776</v>
      </c>
    </row>
    <row r="173" spans="1:4" ht="15.75">
      <c r="A173" s="45" t="s">
        <v>884</v>
      </c>
      <c r="B173" s="70" t="s">
        <v>909</v>
      </c>
      <c r="C173" s="53" t="s">
        <v>876</v>
      </c>
      <c r="D173" s="47">
        <v>8.7999999999999776</v>
      </c>
    </row>
    <row r="174" spans="1:4" ht="15.75">
      <c r="A174" s="45" t="s">
        <v>872</v>
      </c>
      <c r="B174" s="70" t="s">
        <v>910</v>
      </c>
      <c r="C174" s="53" t="s">
        <v>876</v>
      </c>
      <c r="D174" s="47">
        <v>8.7999999999999776</v>
      </c>
    </row>
    <row r="175" spans="1:4" ht="15.75">
      <c r="A175" s="45" t="s">
        <v>881</v>
      </c>
      <c r="B175" s="68" t="s">
        <v>911</v>
      </c>
      <c r="C175" s="46" t="s">
        <v>728</v>
      </c>
      <c r="D175" s="47">
        <v>8.7999999999999776</v>
      </c>
    </row>
    <row r="176" spans="1:4" ht="15.75">
      <c r="A176" s="45" t="s">
        <v>881</v>
      </c>
      <c r="B176" s="70" t="s">
        <v>912</v>
      </c>
      <c r="C176" s="53" t="s">
        <v>876</v>
      </c>
      <c r="D176" s="47">
        <v>8.7999999999999776</v>
      </c>
    </row>
    <row r="177" spans="1:4" ht="15.75">
      <c r="A177" s="45" t="s">
        <v>881</v>
      </c>
      <c r="B177" s="70" t="s">
        <v>913</v>
      </c>
      <c r="C177" s="73" t="s">
        <v>876</v>
      </c>
      <c r="D177" s="47">
        <v>8.7999999999999776</v>
      </c>
    </row>
    <row r="178" spans="1:4" ht="15.75">
      <c r="A178" s="45" t="s">
        <v>867</v>
      </c>
      <c r="B178" s="68" t="s">
        <v>914</v>
      </c>
      <c r="C178" s="46" t="s">
        <v>728</v>
      </c>
      <c r="D178" s="47">
        <v>8</v>
      </c>
    </row>
    <row r="179" spans="1:4" ht="15.75">
      <c r="A179" s="45" t="s">
        <v>870</v>
      </c>
      <c r="B179" s="68" t="s">
        <v>915</v>
      </c>
      <c r="C179" s="46" t="s">
        <v>726</v>
      </c>
      <c r="D179" s="47">
        <v>4</v>
      </c>
    </row>
    <row r="180" spans="1:4" ht="15.75">
      <c r="A180" s="45" t="s">
        <v>867</v>
      </c>
      <c r="B180" s="68" t="s">
        <v>916</v>
      </c>
      <c r="C180" s="46" t="s">
        <v>728</v>
      </c>
      <c r="D180" s="47">
        <v>8.7999999999999776</v>
      </c>
    </row>
    <row r="181" spans="1:4" ht="15.75">
      <c r="A181" s="45" t="s">
        <v>890</v>
      </c>
      <c r="B181" s="68" t="s">
        <v>917</v>
      </c>
      <c r="C181" s="46" t="s">
        <v>728</v>
      </c>
      <c r="D181" s="47">
        <v>9</v>
      </c>
    </row>
    <row r="182" spans="1:4" ht="15.75">
      <c r="A182" s="45" t="s">
        <v>881</v>
      </c>
      <c r="B182" s="68" t="s">
        <v>918</v>
      </c>
      <c r="C182" s="46" t="s">
        <v>724</v>
      </c>
      <c r="D182" s="47">
        <v>8.8000000000000043</v>
      </c>
    </row>
    <row r="183" spans="1:4" ht="15.75">
      <c r="A183" s="45" t="s">
        <v>919</v>
      </c>
      <c r="B183" s="68" t="s">
        <v>920</v>
      </c>
      <c r="C183" s="46" t="s">
        <v>728</v>
      </c>
      <c r="D183" s="47">
        <v>13.5</v>
      </c>
    </row>
    <row r="184" spans="1:4" ht="15.75">
      <c r="A184" s="45" t="s">
        <v>921</v>
      </c>
      <c r="B184" s="74" t="s">
        <v>922</v>
      </c>
      <c r="C184" s="75" t="s">
        <v>869</v>
      </c>
      <c r="D184" s="47">
        <v>10</v>
      </c>
    </row>
    <row r="185" spans="1:4" ht="15.75">
      <c r="A185" s="45" t="s">
        <v>867</v>
      </c>
      <c r="B185" s="68" t="s">
        <v>923</v>
      </c>
      <c r="C185" s="46" t="s">
        <v>728</v>
      </c>
      <c r="D185" s="47">
        <v>8.5</v>
      </c>
    </row>
    <row r="186" spans="1:4" ht="15.75">
      <c r="A186" s="45" t="s">
        <v>870</v>
      </c>
      <c r="B186" s="74" t="s">
        <v>924</v>
      </c>
      <c r="C186" s="46" t="s">
        <v>728</v>
      </c>
      <c r="D186" s="47">
        <v>4</v>
      </c>
    </row>
    <row r="187" spans="1:4" ht="15.75">
      <c r="A187" s="45" t="s">
        <v>879</v>
      </c>
      <c r="B187" s="68" t="s">
        <v>925</v>
      </c>
      <c r="C187" s="46" t="s">
        <v>728</v>
      </c>
      <c r="D187" s="47">
        <v>10</v>
      </c>
    </row>
    <row r="188" spans="1:4" ht="15.75">
      <c r="A188" s="45" t="s">
        <v>881</v>
      </c>
      <c r="B188" s="74" t="s">
        <v>926</v>
      </c>
      <c r="C188" s="46" t="s">
        <v>869</v>
      </c>
      <c r="D188" s="47">
        <v>8.7999999999999776</v>
      </c>
    </row>
    <row r="189" spans="1:4" ht="15.75">
      <c r="A189" s="45" t="s">
        <v>927</v>
      </c>
      <c r="B189" s="68" t="s">
        <v>928</v>
      </c>
      <c r="C189" s="46" t="s">
        <v>728</v>
      </c>
      <c r="D189" s="47">
        <v>10</v>
      </c>
    </row>
    <row r="190" spans="1:4" ht="15.75">
      <c r="A190" s="45" t="s">
        <v>867</v>
      </c>
      <c r="B190" s="74" t="s">
        <v>929</v>
      </c>
      <c r="C190" s="75" t="s">
        <v>869</v>
      </c>
      <c r="D190" s="47">
        <v>8.5</v>
      </c>
    </row>
    <row r="191" spans="1:4" ht="15.75">
      <c r="A191" s="45" t="s">
        <v>921</v>
      </c>
      <c r="B191" s="74" t="s">
        <v>930</v>
      </c>
      <c r="C191" s="46" t="s">
        <v>728</v>
      </c>
      <c r="D191" s="47">
        <v>7.5</v>
      </c>
    </row>
    <row r="192" spans="1:4" ht="15.75">
      <c r="A192" s="45" t="s">
        <v>870</v>
      </c>
      <c r="B192" s="74" t="s">
        <v>931</v>
      </c>
      <c r="C192" s="46" t="s">
        <v>726</v>
      </c>
      <c r="D192" s="47">
        <v>4</v>
      </c>
    </row>
    <row r="193" spans="1:4" ht="15.75">
      <c r="A193" s="45" t="s">
        <v>890</v>
      </c>
      <c r="B193" s="74" t="s">
        <v>932</v>
      </c>
      <c r="C193" s="46" t="s">
        <v>726</v>
      </c>
      <c r="D193" s="47">
        <v>9</v>
      </c>
    </row>
    <row r="194" spans="1:4" ht="15.75">
      <c r="A194" s="45" t="s">
        <v>881</v>
      </c>
      <c r="B194" s="68" t="s">
        <v>933</v>
      </c>
      <c r="C194" s="46" t="s">
        <v>869</v>
      </c>
      <c r="D194" s="47">
        <v>8.7999999999999776</v>
      </c>
    </row>
    <row r="195" spans="1:4" ht="15.75">
      <c r="A195" s="45" t="s">
        <v>934</v>
      </c>
      <c r="B195" s="68" t="s">
        <v>935</v>
      </c>
      <c r="C195" s="46" t="s">
        <v>728</v>
      </c>
      <c r="D195" s="47">
        <v>13.399999999999984</v>
      </c>
    </row>
    <row r="196" spans="1:4" ht="15.75">
      <c r="A196" s="45" t="s">
        <v>936</v>
      </c>
      <c r="B196" s="69" t="s">
        <v>937</v>
      </c>
      <c r="C196" s="46" t="s">
        <v>726</v>
      </c>
      <c r="D196" s="47">
        <v>10.10000000000001</v>
      </c>
    </row>
    <row r="197" spans="1:4" ht="15.75">
      <c r="A197" s="45" t="s">
        <v>890</v>
      </c>
      <c r="B197" s="68" t="s">
        <v>938</v>
      </c>
      <c r="C197" s="46" t="s">
        <v>726</v>
      </c>
      <c r="D197" s="47">
        <v>9</v>
      </c>
    </row>
    <row r="198" spans="1:4" ht="15.75">
      <c r="A198" s="45" t="s">
        <v>881</v>
      </c>
      <c r="B198" s="68" t="s">
        <v>939</v>
      </c>
      <c r="C198" s="46" t="s">
        <v>726</v>
      </c>
      <c r="D198" s="47">
        <v>8.7999999999999776</v>
      </c>
    </row>
    <row r="199" spans="1:4" ht="15.75">
      <c r="A199" s="45" t="s">
        <v>881</v>
      </c>
      <c r="B199" s="68" t="s">
        <v>940</v>
      </c>
      <c r="C199" s="46" t="s">
        <v>737</v>
      </c>
      <c r="D199" s="47">
        <v>8.7999999999999812</v>
      </c>
    </row>
    <row r="200" spans="1:4" ht="15.75">
      <c r="A200" s="45" t="s">
        <v>881</v>
      </c>
      <c r="B200" s="68" t="s">
        <v>941</v>
      </c>
      <c r="C200" s="46" t="s">
        <v>726</v>
      </c>
      <c r="D200" s="47">
        <v>8.7999999999999776</v>
      </c>
    </row>
    <row r="201" spans="1:4" ht="15.75">
      <c r="A201" s="45" t="s">
        <v>942</v>
      </c>
      <c r="B201" s="68" t="s">
        <v>943</v>
      </c>
      <c r="C201" s="46" t="s">
        <v>726</v>
      </c>
      <c r="D201" s="47">
        <v>8.2999999999999812</v>
      </c>
    </row>
    <row r="202" spans="1:4" ht="15.75">
      <c r="A202" s="45" t="s">
        <v>867</v>
      </c>
      <c r="B202" s="74" t="s">
        <v>944</v>
      </c>
      <c r="C202" s="46" t="s">
        <v>728</v>
      </c>
      <c r="D202" s="47">
        <v>10.099999999999991</v>
      </c>
    </row>
    <row r="203" spans="1:4" ht="15.75">
      <c r="A203" s="45" t="s">
        <v>942</v>
      </c>
      <c r="B203" s="68" t="s">
        <v>945</v>
      </c>
      <c r="C203" s="46" t="s">
        <v>737</v>
      </c>
      <c r="D203" s="47">
        <v>8.2999999999999901</v>
      </c>
    </row>
    <row r="204" spans="1:4" ht="15.75">
      <c r="A204" s="45" t="s">
        <v>942</v>
      </c>
      <c r="B204" s="68" t="s">
        <v>946</v>
      </c>
      <c r="C204" s="46" t="s">
        <v>737</v>
      </c>
      <c r="D204" s="47">
        <v>8.2999999999999829</v>
      </c>
    </row>
    <row r="205" spans="1:4" ht="15.75">
      <c r="A205" s="45" t="s">
        <v>890</v>
      </c>
      <c r="B205" s="69" t="s">
        <v>947</v>
      </c>
      <c r="C205" s="51" t="s">
        <v>737</v>
      </c>
      <c r="D205" s="47">
        <v>9</v>
      </c>
    </row>
    <row r="206" spans="1:4" ht="15.75">
      <c r="A206" s="45" t="s">
        <v>881</v>
      </c>
      <c r="B206" s="69" t="s">
        <v>948</v>
      </c>
      <c r="C206" s="51" t="s">
        <v>737</v>
      </c>
      <c r="D206" s="47">
        <v>8.7999999999999758</v>
      </c>
    </row>
    <row r="207" spans="1:4" ht="15.75">
      <c r="A207" s="45" t="s">
        <v>881</v>
      </c>
      <c r="B207" s="68" t="s">
        <v>949</v>
      </c>
      <c r="C207" s="46" t="s">
        <v>737</v>
      </c>
      <c r="D207" s="47">
        <v>7.6</v>
      </c>
    </row>
    <row r="208" spans="1:4" ht="15.75">
      <c r="A208" s="45" t="s">
        <v>870</v>
      </c>
      <c r="B208" s="68" t="s">
        <v>950</v>
      </c>
      <c r="C208" s="46" t="s">
        <v>737</v>
      </c>
      <c r="D208" s="47">
        <v>4</v>
      </c>
    </row>
    <row r="209" spans="1:4" ht="15.75">
      <c r="A209" s="45" t="s">
        <v>936</v>
      </c>
      <c r="B209" s="68" t="s">
        <v>951</v>
      </c>
      <c r="C209" s="46" t="s">
        <v>737</v>
      </c>
      <c r="D209" s="47">
        <v>10.099999999999987</v>
      </c>
    </row>
    <row r="210" spans="1:4" ht="15.75">
      <c r="A210" s="45" t="s">
        <v>936</v>
      </c>
      <c r="B210" s="68" t="s">
        <v>952</v>
      </c>
      <c r="C210" s="46" t="s">
        <v>737</v>
      </c>
      <c r="D210" s="47">
        <v>10.099999999999994</v>
      </c>
    </row>
    <row r="211" spans="1:4" ht="15.75">
      <c r="A211" s="45" t="s">
        <v>881</v>
      </c>
      <c r="B211" s="68" t="s">
        <v>953</v>
      </c>
      <c r="C211" s="46" t="s">
        <v>737</v>
      </c>
      <c r="D211" s="47">
        <v>7.600000000000005</v>
      </c>
    </row>
    <row r="212" spans="1:4" ht="15.75">
      <c r="A212" s="45" t="s">
        <v>954</v>
      </c>
      <c r="B212" s="68" t="s">
        <v>955</v>
      </c>
      <c r="C212" s="46" t="s">
        <v>728</v>
      </c>
      <c r="D212" s="47">
        <v>10</v>
      </c>
    </row>
    <row r="213" spans="1:4" ht="15.75">
      <c r="A213" s="45" t="s">
        <v>954</v>
      </c>
      <c r="B213" s="68" t="s">
        <v>956</v>
      </c>
      <c r="C213" s="46" t="s">
        <v>728</v>
      </c>
      <c r="D213" s="47">
        <v>10</v>
      </c>
    </row>
    <row r="214" spans="1:4" ht="15.75">
      <c r="A214" s="45" t="s">
        <v>890</v>
      </c>
      <c r="B214" s="68" t="s">
        <v>957</v>
      </c>
      <c r="C214" s="46" t="s">
        <v>728</v>
      </c>
      <c r="D214" s="47">
        <v>9</v>
      </c>
    </row>
    <row r="215" spans="1:4" ht="15.75">
      <c r="A215" s="45" t="s">
        <v>958</v>
      </c>
      <c r="B215" s="68" t="s">
        <v>959</v>
      </c>
      <c r="C215" s="46" t="s">
        <v>728</v>
      </c>
      <c r="D215" s="47">
        <v>8.7999999999999776</v>
      </c>
    </row>
    <row r="216" spans="1:4" ht="15.75">
      <c r="A216" s="45" t="s">
        <v>960</v>
      </c>
      <c r="B216" s="74" t="s">
        <v>961</v>
      </c>
      <c r="C216" s="46" t="s">
        <v>728</v>
      </c>
      <c r="D216" s="47">
        <v>7.5</v>
      </c>
    </row>
    <row r="217" spans="1:4" ht="15.75">
      <c r="A217" s="45" t="s">
        <v>867</v>
      </c>
      <c r="B217" s="74" t="s">
        <v>962</v>
      </c>
      <c r="C217" s="46" t="s">
        <v>728</v>
      </c>
      <c r="D217" s="47">
        <v>10</v>
      </c>
    </row>
    <row r="218" spans="1:4" ht="15.75">
      <c r="A218" s="45" t="s">
        <v>870</v>
      </c>
      <c r="B218" s="74" t="s">
        <v>963</v>
      </c>
      <c r="C218" s="46" t="s">
        <v>737</v>
      </c>
      <c r="D218" s="47">
        <v>4</v>
      </c>
    </row>
    <row r="219" spans="1:4" ht="15.75">
      <c r="A219" s="45" t="s">
        <v>890</v>
      </c>
      <c r="B219" s="68" t="s">
        <v>964</v>
      </c>
      <c r="C219" s="46" t="s">
        <v>728</v>
      </c>
      <c r="D219" s="47">
        <v>9</v>
      </c>
    </row>
    <row r="220" spans="1:4" ht="15.75">
      <c r="A220" s="45" t="s">
        <v>890</v>
      </c>
      <c r="B220" s="68" t="s">
        <v>965</v>
      </c>
      <c r="C220" s="46" t="s">
        <v>737</v>
      </c>
      <c r="D220" s="47">
        <v>9</v>
      </c>
    </row>
    <row r="221" spans="1:4" ht="15.75">
      <c r="A221" s="45" t="s">
        <v>881</v>
      </c>
      <c r="B221" s="76" t="s">
        <v>966</v>
      </c>
      <c r="C221" s="46" t="s">
        <v>728</v>
      </c>
      <c r="D221" s="47">
        <v>8.7999999999999776</v>
      </c>
    </row>
    <row r="222" spans="1:4" ht="15.75">
      <c r="A222" s="45" t="s">
        <v>967</v>
      </c>
      <c r="B222" s="68" t="s">
        <v>968</v>
      </c>
      <c r="C222" s="46" t="s">
        <v>728</v>
      </c>
      <c r="D222" s="47">
        <v>13</v>
      </c>
    </row>
    <row r="223" spans="1:4" ht="15.75">
      <c r="A223" s="45" t="s">
        <v>969</v>
      </c>
      <c r="B223" s="68" t="s">
        <v>970</v>
      </c>
      <c r="C223" s="46" t="s">
        <v>728</v>
      </c>
      <c r="D223" s="47">
        <v>20</v>
      </c>
    </row>
    <row r="224" spans="1:4" ht="15.75">
      <c r="A224" s="45" t="s">
        <v>890</v>
      </c>
      <c r="B224" s="68" t="s">
        <v>971</v>
      </c>
      <c r="C224" s="46" t="s">
        <v>728</v>
      </c>
      <c r="D224" s="47">
        <v>9</v>
      </c>
    </row>
    <row r="225" spans="1:4" ht="15.75">
      <c r="A225" s="45" t="s">
        <v>881</v>
      </c>
      <c r="B225" s="68" t="s">
        <v>972</v>
      </c>
      <c r="C225" s="46" t="s">
        <v>728</v>
      </c>
      <c r="D225" s="47">
        <v>7.6000000000000156</v>
      </c>
    </row>
    <row r="226" spans="1:4" ht="15.75">
      <c r="A226" s="45" t="s">
        <v>881</v>
      </c>
      <c r="B226" s="74" t="s">
        <v>973</v>
      </c>
      <c r="C226" s="46" t="s">
        <v>728</v>
      </c>
      <c r="D226" s="47">
        <v>17.599999999999955</v>
      </c>
    </row>
    <row r="227" spans="1:4" ht="15.75">
      <c r="A227" s="45" t="s">
        <v>936</v>
      </c>
      <c r="B227" s="69" t="s">
        <v>974</v>
      </c>
      <c r="C227" s="46" t="s">
        <v>728</v>
      </c>
      <c r="D227" s="47">
        <v>10.099999999999996</v>
      </c>
    </row>
    <row r="228" spans="1:4" ht="15.75">
      <c r="A228" s="45" t="s">
        <v>975</v>
      </c>
      <c r="B228" s="68" t="s">
        <v>976</v>
      </c>
      <c r="C228" s="46" t="s">
        <v>728</v>
      </c>
      <c r="D228" s="47">
        <v>9</v>
      </c>
    </row>
    <row r="229" spans="1:4" ht="15.75">
      <c r="A229" s="45" t="s">
        <v>954</v>
      </c>
      <c r="B229" s="69" t="s">
        <v>977</v>
      </c>
      <c r="C229" s="51" t="s">
        <v>728</v>
      </c>
      <c r="D229" s="47">
        <v>11.200000000000026</v>
      </c>
    </row>
    <row r="230" spans="1:4" ht="15.75">
      <c r="A230" s="45" t="s">
        <v>890</v>
      </c>
      <c r="B230" s="69" t="s">
        <v>978</v>
      </c>
      <c r="C230" s="51" t="s">
        <v>728</v>
      </c>
      <c r="D230" s="47">
        <v>9</v>
      </c>
    </row>
    <row r="231" spans="1:4" ht="15.75">
      <c r="A231" s="45" t="s">
        <v>890</v>
      </c>
      <c r="B231" s="71" t="s">
        <v>979</v>
      </c>
      <c r="C231" s="51" t="s">
        <v>728</v>
      </c>
      <c r="D231" s="47">
        <v>9</v>
      </c>
    </row>
    <row r="232" spans="1:4" ht="15.75">
      <c r="A232" s="45" t="s">
        <v>881</v>
      </c>
      <c r="B232" s="69" t="s">
        <v>980</v>
      </c>
      <c r="C232" s="51" t="s">
        <v>728</v>
      </c>
      <c r="D232" s="47">
        <v>8.7999999999999794</v>
      </c>
    </row>
    <row r="233" spans="1:4" ht="15.75">
      <c r="A233" s="45" t="s">
        <v>881</v>
      </c>
      <c r="B233" s="76" t="s">
        <v>981</v>
      </c>
      <c r="C233" s="46" t="s">
        <v>728</v>
      </c>
      <c r="D233" s="47">
        <v>8.7999999999999776</v>
      </c>
    </row>
    <row r="234" spans="1:4" ht="15.75">
      <c r="A234" s="45" t="s">
        <v>982</v>
      </c>
      <c r="B234" s="68" t="s">
        <v>983</v>
      </c>
      <c r="C234" s="46" t="s">
        <v>728</v>
      </c>
      <c r="D234" s="47">
        <v>7.7999999999999821</v>
      </c>
    </row>
    <row r="235" spans="1:4" ht="15.75">
      <c r="A235" s="45" t="s">
        <v>879</v>
      </c>
      <c r="B235" s="68" t="s">
        <v>984</v>
      </c>
      <c r="C235" s="46" t="s">
        <v>728</v>
      </c>
      <c r="D235" s="47">
        <v>10</v>
      </c>
    </row>
    <row r="236" spans="1:4" ht="15.75">
      <c r="A236" s="45" t="s">
        <v>890</v>
      </c>
      <c r="B236" s="68" t="s">
        <v>985</v>
      </c>
      <c r="C236" s="46" t="s">
        <v>728</v>
      </c>
      <c r="D236" s="47">
        <v>9</v>
      </c>
    </row>
    <row r="237" spans="1:4" ht="15.75">
      <c r="A237" s="45" t="s">
        <v>867</v>
      </c>
      <c r="B237" s="74" t="s">
        <v>986</v>
      </c>
      <c r="C237" s="46" t="s">
        <v>728</v>
      </c>
      <c r="D237" s="47">
        <v>10.099999999999985</v>
      </c>
    </row>
    <row r="238" spans="1:4" ht="15.75">
      <c r="A238" s="45" t="s">
        <v>867</v>
      </c>
      <c r="B238" s="68" t="s">
        <v>987</v>
      </c>
      <c r="C238" s="46" t="s">
        <v>726</v>
      </c>
      <c r="D238" s="47">
        <v>8.5</v>
      </c>
    </row>
    <row r="239" spans="1:4" ht="15.75">
      <c r="A239" s="45" t="s">
        <v>867</v>
      </c>
      <c r="B239" s="68" t="s">
        <v>988</v>
      </c>
      <c r="C239" s="46" t="s">
        <v>737</v>
      </c>
      <c r="D239" s="47">
        <v>8.5</v>
      </c>
    </row>
    <row r="240" spans="1:4" ht="15.75">
      <c r="A240" s="45" t="s">
        <v>870</v>
      </c>
      <c r="B240" s="74" t="s">
        <v>989</v>
      </c>
      <c r="C240" s="46" t="s">
        <v>724</v>
      </c>
      <c r="D240" s="47">
        <v>4</v>
      </c>
    </row>
    <row r="241" spans="1:4" ht="15.75">
      <c r="A241" s="45" t="s">
        <v>881</v>
      </c>
      <c r="B241" s="45" t="s">
        <v>990</v>
      </c>
      <c r="C241" s="46" t="s">
        <v>728</v>
      </c>
      <c r="D241" s="47">
        <v>8.7999999999999776</v>
      </c>
    </row>
    <row r="242" spans="1:4" ht="15.75">
      <c r="A242" s="45" t="s">
        <v>870</v>
      </c>
      <c r="B242" s="69" t="s">
        <v>991</v>
      </c>
      <c r="C242" s="46" t="s">
        <v>728</v>
      </c>
      <c r="D242" s="47">
        <v>4</v>
      </c>
    </row>
    <row r="243" spans="1:4" ht="15.75">
      <c r="A243" s="45" t="s">
        <v>870</v>
      </c>
      <c r="B243" s="68" t="s">
        <v>992</v>
      </c>
      <c r="C243" s="46" t="s">
        <v>728</v>
      </c>
      <c r="D243" s="47">
        <v>4</v>
      </c>
    </row>
    <row r="244" spans="1:4" ht="15.75">
      <c r="A244" s="45" t="s">
        <v>870</v>
      </c>
      <c r="B244" s="77" t="s">
        <v>993</v>
      </c>
      <c r="C244" s="52" t="s">
        <v>728</v>
      </c>
      <c r="D244" s="47">
        <v>4</v>
      </c>
    </row>
    <row r="245" spans="1:4" ht="15.75">
      <c r="A245" s="45" t="s">
        <v>890</v>
      </c>
      <c r="B245" s="68" t="s">
        <v>994</v>
      </c>
      <c r="C245" s="46" t="s">
        <v>728</v>
      </c>
      <c r="D245" s="47">
        <v>9</v>
      </c>
    </row>
    <row r="246" spans="1:4" ht="15.75">
      <c r="A246" s="45" t="s">
        <v>890</v>
      </c>
      <c r="B246" s="68" t="s">
        <v>995</v>
      </c>
      <c r="C246" s="46" t="s">
        <v>728</v>
      </c>
      <c r="D246" s="47">
        <v>9</v>
      </c>
    </row>
    <row r="247" spans="1:4" ht="15.75">
      <c r="A247" s="45" t="s">
        <v>881</v>
      </c>
      <c r="B247" s="68" t="s">
        <v>996</v>
      </c>
      <c r="C247" s="46" t="s">
        <v>728</v>
      </c>
      <c r="D247" s="47">
        <v>8.7999999999999776</v>
      </c>
    </row>
    <row r="248" spans="1:4" ht="15.75">
      <c r="A248" s="45" t="s">
        <v>881</v>
      </c>
      <c r="B248" s="68" t="s">
        <v>997</v>
      </c>
      <c r="C248" s="46" t="s">
        <v>728</v>
      </c>
      <c r="D248" s="47">
        <v>8.7999999999999776</v>
      </c>
    </row>
    <row r="249" spans="1:4" ht="15.75">
      <c r="A249" s="45" t="s">
        <v>998</v>
      </c>
      <c r="B249" s="74" t="s">
        <v>999</v>
      </c>
      <c r="C249" s="46" t="s">
        <v>728</v>
      </c>
      <c r="D249" s="47">
        <v>10</v>
      </c>
    </row>
    <row r="250" spans="1:4" ht="15.75">
      <c r="A250" s="45" t="s">
        <v>1000</v>
      </c>
      <c r="B250" s="68" t="s">
        <v>1001</v>
      </c>
      <c r="C250" s="46" t="s">
        <v>728</v>
      </c>
      <c r="D250" s="47">
        <v>14.099999999999962</v>
      </c>
    </row>
    <row r="251" spans="1:4" ht="15.75">
      <c r="A251" s="45" t="s">
        <v>867</v>
      </c>
      <c r="B251" s="68" t="s">
        <v>1002</v>
      </c>
      <c r="C251" s="46" t="s">
        <v>728</v>
      </c>
      <c r="D251" s="47">
        <v>10</v>
      </c>
    </row>
    <row r="252" spans="1:4" ht="15.75">
      <c r="A252" s="45" t="s">
        <v>884</v>
      </c>
      <c r="B252" s="68" t="s">
        <v>1003</v>
      </c>
      <c r="C252" s="46" t="s">
        <v>869</v>
      </c>
      <c r="D252" s="47">
        <v>9.5</v>
      </c>
    </row>
    <row r="253" spans="1:4" ht="15.75">
      <c r="A253" s="45" t="s">
        <v>1004</v>
      </c>
      <c r="B253" s="68" t="s">
        <v>1005</v>
      </c>
      <c r="C253" s="46" t="s">
        <v>869</v>
      </c>
      <c r="D253" s="47">
        <v>6.5</v>
      </c>
    </row>
    <row r="254" spans="1:4" ht="15.75">
      <c r="A254" s="45" t="s">
        <v>870</v>
      </c>
      <c r="B254" s="68" t="s">
        <v>1006</v>
      </c>
      <c r="C254" s="46" t="s">
        <v>724</v>
      </c>
      <c r="D254" s="47">
        <v>4</v>
      </c>
    </row>
    <row r="255" spans="1:4" ht="15.75">
      <c r="A255" s="45" t="s">
        <v>890</v>
      </c>
      <c r="B255" s="68" t="s">
        <v>1007</v>
      </c>
      <c r="C255" s="46" t="s">
        <v>724</v>
      </c>
      <c r="D255" s="47">
        <v>9</v>
      </c>
    </row>
    <row r="256" spans="1:4" ht="15.75">
      <c r="A256" s="45" t="s">
        <v>890</v>
      </c>
      <c r="B256" s="68" t="s">
        <v>1008</v>
      </c>
      <c r="C256" s="46" t="s">
        <v>728</v>
      </c>
      <c r="D256" s="47">
        <v>9</v>
      </c>
    </row>
    <row r="257" spans="1:4" ht="15.75">
      <c r="A257" s="45" t="s">
        <v>890</v>
      </c>
      <c r="B257" s="69" t="s">
        <v>1009</v>
      </c>
      <c r="C257" s="46" t="s">
        <v>724</v>
      </c>
      <c r="D257" s="47">
        <v>9</v>
      </c>
    </row>
    <row r="258" spans="1:4" ht="15.75">
      <c r="A258" s="45" t="s">
        <v>890</v>
      </c>
      <c r="B258" s="74" t="s">
        <v>1010</v>
      </c>
      <c r="C258" s="46" t="s">
        <v>728</v>
      </c>
      <c r="D258" s="47">
        <v>9</v>
      </c>
    </row>
    <row r="259" spans="1:4" ht="15.75">
      <c r="A259" s="45" t="s">
        <v>881</v>
      </c>
      <c r="B259" s="68" t="s">
        <v>1011</v>
      </c>
      <c r="C259" s="46" t="s">
        <v>728</v>
      </c>
      <c r="D259" s="47">
        <v>8.7999999999999776</v>
      </c>
    </row>
    <row r="260" spans="1:4" ht="15.75">
      <c r="A260" s="45" t="s">
        <v>881</v>
      </c>
      <c r="B260" s="68" t="s">
        <v>1012</v>
      </c>
      <c r="C260" s="46" t="s">
        <v>724</v>
      </c>
      <c r="D260" s="47">
        <v>8.7999999999999776</v>
      </c>
    </row>
    <row r="261" spans="1:4" ht="15.75">
      <c r="A261" s="45" t="s">
        <v>881</v>
      </c>
      <c r="B261" s="68" t="s">
        <v>1013</v>
      </c>
      <c r="C261" s="46" t="s">
        <v>724</v>
      </c>
      <c r="D261" s="47">
        <v>8.7999999999999794</v>
      </c>
    </row>
    <row r="262" spans="1:4" ht="15.75">
      <c r="A262" s="45" t="s">
        <v>881</v>
      </c>
      <c r="B262" s="69" t="s">
        <v>1014</v>
      </c>
      <c r="C262" s="46" t="s">
        <v>724</v>
      </c>
      <c r="D262" s="47">
        <v>8.7999999999999776</v>
      </c>
    </row>
    <row r="263" spans="1:4" ht="15.75">
      <c r="A263" s="45" t="s">
        <v>975</v>
      </c>
      <c r="B263" s="68" t="s">
        <v>1015</v>
      </c>
      <c r="C263" s="46" t="s">
        <v>724</v>
      </c>
      <c r="D263" s="47">
        <v>9</v>
      </c>
    </row>
    <row r="264" spans="1:4">
      <c r="A264" s="78"/>
      <c r="B264" s="78"/>
      <c r="C264" s="79"/>
      <c r="D264" s="78"/>
    </row>
    <row r="265" spans="1:4">
      <c r="A265" s="78"/>
      <c r="B265" s="78"/>
      <c r="C265" s="79"/>
      <c r="D265" s="78"/>
    </row>
    <row r="266" spans="1:4">
      <c r="A266" s="78"/>
      <c r="B266" s="78"/>
      <c r="C266" s="79"/>
      <c r="D266" s="78"/>
    </row>
    <row r="267" spans="1:4">
      <c r="A267" s="78"/>
      <c r="B267" s="78"/>
      <c r="C267" s="79"/>
      <c r="D267" s="78"/>
    </row>
    <row r="268" spans="1:4">
      <c r="A268" s="78"/>
      <c r="B268" s="78"/>
      <c r="C268" s="79"/>
      <c r="D268" s="78"/>
    </row>
    <row r="269" spans="1:4">
      <c r="A269" s="78"/>
      <c r="B269" s="78"/>
      <c r="C269" s="79"/>
      <c r="D269" s="78"/>
    </row>
    <row r="270" spans="1:4">
      <c r="A270" s="78"/>
      <c r="B270" s="78"/>
      <c r="C270" s="79"/>
      <c r="D270" s="78"/>
    </row>
    <row r="271" spans="1:4">
      <c r="A271" s="78"/>
      <c r="B271" s="78"/>
      <c r="C271" s="79"/>
      <c r="D271" s="78"/>
    </row>
    <row r="272" spans="1:4">
      <c r="A272" s="78"/>
      <c r="B272" s="78"/>
      <c r="C272" s="79"/>
      <c r="D272" s="78"/>
    </row>
    <row r="273" spans="1:4">
      <c r="A273" s="78"/>
      <c r="B273" s="78"/>
      <c r="C273" s="79"/>
      <c r="D273" s="78"/>
    </row>
    <row r="274" spans="1:4">
      <c r="A274" s="78"/>
      <c r="B274" s="78"/>
      <c r="C274" s="79"/>
      <c r="D274" s="78"/>
    </row>
    <row r="275" spans="1:4">
      <c r="A275" s="78"/>
      <c r="B275" s="78"/>
      <c r="C275" s="79"/>
      <c r="D275" s="78"/>
    </row>
    <row r="276" spans="1:4">
      <c r="A276" s="78"/>
      <c r="B276" s="78"/>
      <c r="C276" s="79"/>
      <c r="D276" s="78"/>
    </row>
    <row r="277" spans="1:4">
      <c r="A277" s="78"/>
      <c r="B277" s="78"/>
      <c r="C277" s="79"/>
      <c r="D277" s="78"/>
    </row>
    <row r="278" spans="1:4">
      <c r="C278" s="80"/>
    </row>
    <row r="279" spans="1:4">
      <c r="C279" s="80"/>
    </row>
    <row r="280" spans="1:4">
      <c r="C280" s="80"/>
    </row>
    <row r="281" spans="1:4">
      <c r="C281" s="80"/>
    </row>
    <row r="282" spans="1:4">
      <c r="C282" s="80"/>
    </row>
    <row r="283" spans="1:4">
      <c r="C283" s="80"/>
    </row>
    <row r="284" spans="1:4">
      <c r="C284" s="80"/>
    </row>
    <row r="285" spans="1:4">
      <c r="C285" s="80"/>
    </row>
    <row r="286" spans="1:4">
      <c r="C286" s="80"/>
    </row>
    <row r="287" spans="1:4">
      <c r="C287" s="80"/>
    </row>
    <row r="288" spans="1:4">
      <c r="C288" s="80"/>
    </row>
    <row r="289" spans="3:3">
      <c r="C289" s="80"/>
    </row>
    <row r="290" spans="3:3">
      <c r="C290" s="80"/>
    </row>
    <row r="291" spans="3:3">
      <c r="C291" s="80"/>
    </row>
    <row r="292" spans="3:3">
      <c r="C292" s="80"/>
    </row>
    <row r="293" spans="3:3">
      <c r="C293" s="80"/>
    </row>
    <row r="294" spans="3:3">
      <c r="C294" s="80"/>
    </row>
    <row r="295" spans="3:3">
      <c r="C295" s="80"/>
    </row>
    <row r="296" spans="3:3">
      <c r="C296" s="80"/>
    </row>
    <row r="297" spans="3:3">
      <c r="C297" s="80"/>
    </row>
    <row r="298" spans="3:3">
      <c r="C298" s="80"/>
    </row>
    <row r="299" spans="3:3">
      <c r="C299" s="80"/>
    </row>
    <row r="300" spans="3:3">
      <c r="C300" s="80"/>
    </row>
    <row r="301" spans="3:3">
      <c r="C301" s="80"/>
    </row>
    <row r="302" spans="3:3">
      <c r="C302" s="80"/>
    </row>
    <row r="303" spans="3:3">
      <c r="C303" s="80"/>
    </row>
    <row r="304" spans="3:3">
      <c r="C304" s="80"/>
    </row>
    <row r="305" spans="3:3">
      <c r="C305" s="80"/>
    </row>
    <row r="306" spans="3:3">
      <c r="C306" s="80"/>
    </row>
    <row r="307" spans="3:3">
      <c r="C307" s="80"/>
    </row>
    <row r="308" spans="3:3">
      <c r="C308" s="80"/>
    </row>
    <row r="309" spans="3:3">
      <c r="C309" s="80"/>
    </row>
    <row r="310" spans="3:3">
      <c r="C310" s="80"/>
    </row>
    <row r="311" spans="3:3">
      <c r="C311" s="80"/>
    </row>
    <row r="312" spans="3:3">
      <c r="C312" s="80"/>
    </row>
    <row r="313" spans="3:3">
      <c r="C313" s="80"/>
    </row>
    <row r="314" spans="3:3">
      <c r="C314" s="80"/>
    </row>
    <row r="315" spans="3:3">
      <c r="C315" s="80"/>
    </row>
    <row r="316" spans="3:3">
      <c r="C316" s="80"/>
    </row>
    <row r="317" spans="3:3">
      <c r="C317" s="80"/>
    </row>
    <row r="318" spans="3:3">
      <c r="C318" s="80"/>
    </row>
    <row r="319" spans="3:3">
      <c r="C319" s="80"/>
    </row>
    <row r="320" spans="3:3">
      <c r="C320" s="80"/>
    </row>
    <row r="321" spans="3:3">
      <c r="C321" s="80"/>
    </row>
    <row r="322" spans="3:3">
      <c r="C322" s="80"/>
    </row>
    <row r="323" spans="3:3">
      <c r="C323" s="80"/>
    </row>
    <row r="324" spans="3:3">
      <c r="C324" s="80"/>
    </row>
    <row r="325" spans="3:3">
      <c r="C325" s="80"/>
    </row>
    <row r="326" spans="3:3">
      <c r="C326" s="80"/>
    </row>
    <row r="327" spans="3:3">
      <c r="C327" s="80"/>
    </row>
    <row r="328" spans="3:3">
      <c r="C328" s="80"/>
    </row>
    <row r="329" spans="3:3">
      <c r="C329" s="80"/>
    </row>
    <row r="330" spans="3:3">
      <c r="C330" s="80"/>
    </row>
    <row r="331" spans="3:3">
      <c r="C331" s="80"/>
    </row>
    <row r="332" spans="3:3">
      <c r="C332" s="80"/>
    </row>
    <row r="333" spans="3:3">
      <c r="C333" s="80"/>
    </row>
    <row r="334" spans="3:3">
      <c r="C334" s="80"/>
    </row>
    <row r="335" spans="3:3">
      <c r="C335" s="80"/>
    </row>
    <row r="336" spans="3:3">
      <c r="C336" s="80"/>
    </row>
    <row r="337" spans="3:3">
      <c r="C337" s="80"/>
    </row>
    <row r="338" spans="3:3">
      <c r="C338" s="80"/>
    </row>
    <row r="339" spans="3:3">
      <c r="C339" s="80"/>
    </row>
    <row r="340" spans="3:3">
      <c r="C340" s="80"/>
    </row>
    <row r="341" spans="3:3">
      <c r="C341" s="80"/>
    </row>
    <row r="342" spans="3:3">
      <c r="C342" s="80"/>
    </row>
    <row r="343" spans="3:3">
      <c r="C343" s="80"/>
    </row>
    <row r="344" spans="3:3">
      <c r="C344" s="80"/>
    </row>
    <row r="345" spans="3:3">
      <c r="C345" s="80"/>
    </row>
    <row r="346" spans="3:3">
      <c r="C346" s="80"/>
    </row>
    <row r="347" spans="3:3">
      <c r="C347" s="80"/>
    </row>
    <row r="348" spans="3:3">
      <c r="C348" s="80"/>
    </row>
    <row r="349" spans="3:3">
      <c r="C349" s="80"/>
    </row>
    <row r="350" spans="3:3">
      <c r="C350" s="80"/>
    </row>
    <row r="351" spans="3:3">
      <c r="C351" s="80"/>
    </row>
    <row r="352" spans="3:3">
      <c r="C352" s="80"/>
    </row>
    <row r="353" spans="3:3">
      <c r="C353" s="80"/>
    </row>
    <row r="354" spans="3:3">
      <c r="C354" s="80"/>
    </row>
    <row r="355" spans="3:3">
      <c r="C355" s="80"/>
    </row>
    <row r="356" spans="3:3">
      <c r="C356" s="80"/>
    </row>
    <row r="357" spans="3:3">
      <c r="C357" s="80"/>
    </row>
    <row r="358" spans="3:3">
      <c r="C358" s="80"/>
    </row>
    <row r="359" spans="3:3">
      <c r="C359" s="80"/>
    </row>
    <row r="360" spans="3:3">
      <c r="C360" s="80"/>
    </row>
    <row r="361" spans="3:3">
      <c r="C361" s="80"/>
    </row>
    <row r="362" spans="3:3">
      <c r="C362" s="80"/>
    </row>
    <row r="363" spans="3:3">
      <c r="C363" s="80"/>
    </row>
    <row r="364" spans="3:3">
      <c r="C364" s="80"/>
    </row>
    <row r="365" spans="3:3">
      <c r="C365" s="80"/>
    </row>
    <row r="366" spans="3:3">
      <c r="C366" s="80"/>
    </row>
    <row r="367" spans="3:3">
      <c r="C367" s="80"/>
    </row>
    <row r="368" spans="3:3">
      <c r="C368" s="80"/>
    </row>
    <row r="369" spans="3:3">
      <c r="C369" s="80"/>
    </row>
    <row r="370" spans="3:3">
      <c r="C370" s="80"/>
    </row>
    <row r="371" spans="3:3">
      <c r="C371" s="80"/>
    </row>
    <row r="372" spans="3:3">
      <c r="C372" s="80"/>
    </row>
    <row r="373" spans="3:3">
      <c r="C373" s="80"/>
    </row>
    <row r="374" spans="3:3">
      <c r="C374" s="80"/>
    </row>
    <row r="375" spans="3:3">
      <c r="C375" s="80"/>
    </row>
    <row r="376" spans="3:3">
      <c r="C376" s="80"/>
    </row>
    <row r="377" spans="3:3">
      <c r="C377" s="80"/>
    </row>
    <row r="378" spans="3:3">
      <c r="C378" s="80"/>
    </row>
    <row r="379" spans="3:3">
      <c r="C379" s="80"/>
    </row>
    <row r="380" spans="3:3">
      <c r="C380" s="80"/>
    </row>
    <row r="381" spans="3:3">
      <c r="C381" s="80"/>
    </row>
    <row r="382" spans="3:3">
      <c r="C382" s="80"/>
    </row>
    <row r="383" spans="3:3">
      <c r="C383" s="80"/>
    </row>
    <row r="384" spans="3:3">
      <c r="C384" s="80"/>
    </row>
    <row r="385" spans="3:3">
      <c r="C385" s="80"/>
    </row>
    <row r="386" spans="3:3">
      <c r="C386" s="80"/>
    </row>
    <row r="387" spans="3:3">
      <c r="C387" s="80"/>
    </row>
    <row r="388" spans="3:3">
      <c r="C388" s="80"/>
    </row>
    <row r="389" spans="3:3">
      <c r="C389" s="80"/>
    </row>
    <row r="390" spans="3:3">
      <c r="C390" s="80"/>
    </row>
    <row r="391" spans="3:3">
      <c r="C391" s="80"/>
    </row>
    <row r="392" spans="3:3">
      <c r="C392" s="80"/>
    </row>
    <row r="393" spans="3:3">
      <c r="C393" s="80"/>
    </row>
    <row r="394" spans="3:3">
      <c r="C394" s="80"/>
    </row>
    <row r="395" spans="3:3">
      <c r="C395" s="80"/>
    </row>
    <row r="396" spans="3:3">
      <c r="C396" s="80"/>
    </row>
    <row r="397" spans="3:3">
      <c r="C397" s="80"/>
    </row>
    <row r="398" spans="3:3">
      <c r="C398" s="80"/>
    </row>
    <row r="399" spans="3:3">
      <c r="C399" s="80"/>
    </row>
    <row r="400" spans="3:3">
      <c r="C400" s="80"/>
    </row>
    <row r="401" spans="3:3">
      <c r="C401" s="80"/>
    </row>
    <row r="402" spans="3:3">
      <c r="C402" s="80"/>
    </row>
    <row r="403" spans="3:3">
      <c r="C403" s="80"/>
    </row>
    <row r="404" spans="3:3">
      <c r="C404" s="80"/>
    </row>
    <row r="405" spans="3:3">
      <c r="C405" s="80"/>
    </row>
    <row r="406" spans="3:3">
      <c r="C406" s="80"/>
    </row>
    <row r="407" spans="3:3">
      <c r="C407" s="80"/>
    </row>
    <row r="408" spans="3:3">
      <c r="C408" s="80"/>
    </row>
    <row r="409" spans="3:3">
      <c r="C409" s="80"/>
    </row>
    <row r="410" spans="3:3">
      <c r="C410" s="80"/>
    </row>
    <row r="411" spans="3:3">
      <c r="C411" s="80"/>
    </row>
    <row r="412" spans="3:3">
      <c r="C412" s="80"/>
    </row>
    <row r="413" spans="3:3">
      <c r="C413" s="80"/>
    </row>
    <row r="414" spans="3:3">
      <c r="C414" s="80"/>
    </row>
    <row r="415" spans="3:3">
      <c r="C415" s="80"/>
    </row>
    <row r="416" spans="3:3">
      <c r="C416" s="80"/>
    </row>
    <row r="417" spans="3:3">
      <c r="C417" s="80"/>
    </row>
    <row r="418" spans="3:3">
      <c r="C418" s="80"/>
    </row>
    <row r="419" spans="3:3">
      <c r="C419" s="80"/>
    </row>
    <row r="420" spans="3:3">
      <c r="C420" s="80"/>
    </row>
    <row r="421" spans="3:3">
      <c r="C421" s="80"/>
    </row>
    <row r="422" spans="3:3">
      <c r="C422" s="80"/>
    </row>
    <row r="423" spans="3:3">
      <c r="C423" s="80"/>
    </row>
    <row r="424" spans="3:3">
      <c r="C424" s="80"/>
    </row>
    <row r="425" spans="3:3">
      <c r="C425" s="80"/>
    </row>
    <row r="426" spans="3:3">
      <c r="C426" s="80"/>
    </row>
    <row r="427" spans="3:3">
      <c r="C427" s="80"/>
    </row>
    <row r="428" spans="3:3">
      <c r="C428" s="80"/>
    </row>
    <row r="429" spans="3:3">
      <c r="C429" s="80"/>
    </row>
    <row r="430" spans="3:3">
      <c r="C430" s="80"/>
    </row>
    <row r="431" spans="3:3">
      <c r="C431" s="80"/>
    </row>
    <row r="432" spans="3:3">
      <c r="C432" s="80"/>
    </row>
    <row r="433" spans="3:3">
      <c r="C433" s="80"/>
    </row>
    <row r="434" spans="3:3">
      <c r="C434" s="80"/>
    </row>
    <row r="435" spans="3:3">
      <c r="C435" s="80"/>
    </row>
    <row r="436" spans="3:3">
      <c r="C436" s="80"/>
    </row>
    <row r="437" spans="3:3">
      <c r="C437" s="80"/>
    </row>
    <row r="438" spans="3:3">
      <c r="C438" s="80"/>
    </row>
    <row r="439" spans="3:3">
      <c r="C439" s="80"/>
    </row>
    <row r="440" spans="3:3">
      <c r="C440" s="80"/>
    </row>
    <row r="441" spans="3:3">
      <c r="C441" s="80"/>
    </row>
    <row r="442" spans="3:3">
      <c r="C442" s="80"/>
    </row>
    <row r="443" spans="3:3">
      <c r="C443" s="80"/>
    </row>
    <row r="444" spans="3:3">
      <c r="C444" s="80"/>
    </row>
    <row r="445" spans="3:3">
      <c r="C445" s="80"/>
    </row>
    <row r="446" spans="3:3">
      <c r="C446" s="80"/>
    </row>
    <row r="447" spans="3:3">
      <c r="C447" s="80"/>
    </row>
    <row r="448" spans="3:3">
      <c r="C448" s="80"/>
    </row>
    <row r="449" spans="3:3">
      <c r="C449" s="80"/>
    </row>
    <row r="450" spans="3:3">
      <c r="C450" s="80"/>
    </row>
    <row r="451" spans="3:3">
      <c r="C451" s="80"/>
    </row>
    <row r="452" spans="3:3">
      <c r="C452" s="80"/>
    </row>
    <row r="453" spans="3:3">
      <c r="C453" s="80"/>
    </row>
    <row r="454" spans="3:3">
      <c r="C454" s="80"/>
    </row>
    <row r="455" spans="3:3">
      <c r="C455" s="80"/>
    </row>
    <row r="456" spans="3:3">
      <c r="C456" s="80"/>
    </row>
    <row r="457" spans="3:3">
      <c r="C457" s="80"/>
    </row>
    <row r="458" spans="3:3">
      <c r="C458" s="80"/>
    </row>
    <row r="459" spans="3:3">
      <c r="C459" s="80"/>
    </row>
    <row r="460" spans="3:3">
      <c r="C460" s="80"/>
    </row>
    <row r="461" spans="3:3">
      <c r="C461" s="80"/>
    </row>
    <row r="462" spans="3:3">
      <c r="C462" s="80"/>
    </row>
    <row r="463" spans="3:3">
      <c r="C463" s="80"/>
    </row>
    <row r="464" spans="3:3">
      <c r="C464" s="80"/>
    </row>
    <row r="465" spans="3:3">
      <c r="C465" s="80"/>
    </row>
    <row r="466" spans="3:3">
      <c r="C466" s="80"/>
    </row>
    <row r="467" spans="3:3">
      <c r="C467" s="80"/>
    </row>
    <row r="468" spans="3:3">
      <c r="C468" s="80"/>
    </row>
    <row r="469" spans="3:3">
      <c r="C469" s="80"/>
    </row>
    <row r="470" spans="3:3">
      <c r="C470" s="80"/>
    </row>
    <row r="471" spans="3:3">
      <c r="C471" s="80"/>
    </row>
    <row r="472" spans="3:3">
      <c r="C472" s="80"/>
    </row>
    <row r="473" spans="3:3">
      <c r="C473" s="80"/>
    </row>
    <row r="474" spans="3:3">
      <c r="C474" s="80"/>
    </row>
    <row r="475" spans="3:3">
      <c r="C475" s="80"/>
    </row>
    <row r="476" spans="3:3">
      <c r="C476" s="80"/>
    </row>
    <row r="477" spans="3:3">
      <c r="C477" s="80"/>
    </row>
    <row r="478" spans="3:3">
      <c r="C478" s="80"/>
    </row>
    <row r="479" spans="3:3">
      <c r="C479" s="80"/>
    </row>
    <row r="480" spans="3:3">
      <c r="C480" s="80"/>
    </row>
    <row r="481" spans="3:3">
      <c r="C481" s="80"/>
    </row>
    <row r="482" spans="3:3">
      <c r="C482" s="80"/>
    </row>
    <row r="483" spans="3:3">
      <c r="C483" s="80"/>
    </row>
    <row r="484" spans="3:3">
      <c r="C484" s="80"/>
    </row>
    <row r="485" spans="3:3">
      <c r="C485" s="80"/>
    </row>
    <row r="486" spans="3:3">
      <c r="C486" s="80"/>
    </row>
    <row r="487" spans="3:3">
      <c r="C487" s="80"/>
    </row>
    <row r="488" spans="3:3">
      <c r="C488" s="80"/>
    </row>
    <row r="489" spans="3:3">
      <c r="C489" s="80"/>
    </row>
    <row r="490" spans="3:3">
      <c r="C490" s="80"/>
    </row>
    <row r="491" spans="3:3">
      <c r="C491" s="80"/>
    </row>
    <row r="492" spans="3:3">
      <c r="C492" s="80"/>
    </row>
    <row r="493" spans="3:3">
      <c r="C493" s="80"/>
    </row>
    <row r="494" spans="3:3">
      <c r="C494" s="80"/>
    </row>
    <row r="495" spans="3:3">
      <c r="C495" s="80"/>
    </row>
    <row r="496" spans="3:3">
      <c r="C496" s="80"/>
    </row>
    <row r="497" spans="3:3">
      <c r="C497" s="80"/>
    </row>
    <row r="498" spans="3:3">
      <c r="C498" s="80"/>
    </row>
    <row r="499" spans="3:3">
      <c r="C499" s="80"/>
    </row>
    <row r="500" spans="3:3">
      <c r="C500" s="80"/>
    </row>
    <row r="501" spans="3:3">
      <c r="C501" s="80"/>
    </row>
    <row r="502" spans="3:3">
      <c r="C502" s="80"/>
    </row>
    <row r="503" spans="3:3">
      <c r="C503" s="80"/>
    </row>
    <row r="504" spans="3:3">
      <c r="C504" s="80"/>
    </row>
    <row r="505" spans="3:3">
      <c r="C505" s="80"/>
    </row>
    <row r="506" spans="3:3">
      <c r="C506" s="80"/>
    </row>
    <row r="507" spans="3:3">
      <c r="C507" s="80"/>
    </row>
    <row r="508" spans="3:3">
      <c r="C508" s="80"/>
    </row>
    <row r="509" spans="3:3">
      <c r="C509" s="80"/>
    </row>
    <row r="510" spans="3:3">
      <c r="C510" s="80"/>
    </row>
    <row r="511" spans="3:3">
      <c r="C511" s="80"/>
    </row>
    <row r="512" spans="3:3">
      <c r="C512" s="80"/>
    </row>
    <row r="513" spans="3:3">
      <c r="C513" s="80"/>
    </row>
    <row r="514" spans="3:3">
      <c r="C514" s="80"/>
    </row>
    <row r="515" spans="3:3">
      <c r="C515" s="80"/>
    </row>
    <row r="516" spans="3:3">
      <c r="C516" s="80"/>
    </row>
    <row r="517" spans="3:3">
      <c r="C517" s="80"/>
    </row>
    <row r="518" spans="3:3">
      <c r="C518" s="80"/>
    </row>
    <row r="519" spans="3:3">
      <c r="C519" s="80"/>
    </row>
    <row r="520" spans="3:3">
      <c r="C520" s="80"/>
    </row>
    <row r="521" spans="3:3">
      <c r="C521" s="80"/>
    </row>
    <row r="522" spans="3:3">
      <c r="C522" s="80"/>
    </row>
    <row r="523" spans="3:3">
      <c r="C523" s="80"/>
    </row>
    <row r="524" spans="3:3">
      <c r="C524" s="80"/>
    </row>
    <row r="525" spans="3:3">
      <c r="C525" s="80"/>
    </row>
    <row r="526" spans="3:3">
      <c r="C526" s="80"/>
    </row>
    <row r="527" spans="3:3">
      <c r="C527" s="80"/>
    </row>
    <row r="528" spans="3:3">
      <c r="C528" s="80"/>
    </row>
    <row r="529" spans="3:3">
      <c r="C529" s="80"/>
    </row>
    <row r="530" spans="3:3">
      <c r="C530" s="80"/>
    </row>
    <row r="531" spans="3:3">
      <c r="C531" s="80"/>
    </row>
    <row r="532" spans="3:3">
      <c r="C532" s="80"/>
    </row>
    <row r="533" spans="3:3">
      <c r="C533" s="80"/>
    </row>
    <row r="534" spans="3:3">
      <c r="C534" s="80"/>
    </row>
    <row r="535" spans="3:3">
      <c r="C535" s="80"/>
    </row>
    <row r="536" spans="3:3">
      <c r="C536" s="80"/>
    </row>
    <row r="537" spans="3:3">
      <c r="C537" s="80"/>
    </row>
    <row r="538" spans="3:3">
      <c r="C538" s="80"/>
    </row>
    <row r="539" spans="3:3">
      <c r="C539" s="80"/>
    </row>
    <row r="540" spans="3:3">
      <c r="C540" s="80"/>
    </row>
    <row r="541" spans="3:3">
      <c r="C541" s="80"/>
    </row>
    <row r="542" spans="3:3">
      <c r="C542" s="80"/>
    </row>
    <row r="543" spans="3:3">
      <c r="C543" s="80"/>
    </row>
    <row r="544" spans="3:3">
      <c r="C544" s="80"/>
    </row>
    <row r="545" spans="3:3">
      <c r="C545" s="80"/>
    </row>
    <row r="546" spans="3:3">
      <c r="C546" s="80"/>
    </row>
    <row r="547" spans="3:3">
      <c r="C547" s="80"/>
    </row>
    <row r="548" spans="3:3">
      <c r="C548" s="80"/>
    </row>
    <row r="549" spans="3:3">
      <c r="C549" s="80"/>
    </row>
    <row r="550" spans="3:3">
      <c r="C550" s="80"/>
    </row>
    <row r="551" spans="3:3">
      <c r="C551" s="80"/>
    </row>
    <row r="552" spans="3:3">
      <c r="C552" s="80"/>
    </row>
    <row r="553" spans="3:3">
      <c r="C553" s="80"/>
    </row>
    <row r="554" spans="3:3">
      <c r="C554" s="80"/>
    </row>
    <row r="555" spans="3:3">
      <c r="C555" s="80"/>
    </row>
    <row r="556" spans="3:3">
      <c r="C556" s="80"/>
    </row>
    <row r="557" spans="3:3">
      <c r="C557" s="80"/>
    </row>
    <row r="558" spans="3:3">
      <c r="C558" s="80"/>
    </row>
    <row r="559" spans="3:3">
      <c r="C559" s="80"/>
    </row>
    <row r="560" spans="3:3">
      <c r="C560" s="80"/>
    </row>
    <row r="561" spans="3:3">
      <c r="C561" s="80"/>
    </row>
    <row r="562" spans="3:3">
      <c r="C562" s="80"/>
    </row>
    <row r="563" spans="3:3">
      <c r="C563" s="80"/>
    </row>
    <row r="564" spans="3:3">
      <c r="C564" s="80"/>
    </row>
    <row r="565" spans="3:3">
      <c r="C565" s="80"/>
    </row>
    <row r="566" spans="3:3">
      <c r="C566" s="80"/>
    </row>
    <row r="567" spans="3:3">
      <c r="C567" s="80"/>
    </row>
    <row r="568" spans="3:3">
      <c r="C568" s="80"/>
    </row>
    <row r="569" spans="3:3">
      <c r="C569" s="80"/>
    </row>
    <row r="570" spans="3:3">
      <c r="C570" s="80"/>
    </row>
    <row r="571" spans="3:3">
      <c r="C571" s="80"/>
    </row>
    <row r="572" spans="3:3">
      <c r="C572" s="80"/>
    </row>
    <row r="573" spans="3:3">
      <c r="C573" s="80"/>
    </row>
    <row r="574" spans="3:3">
      <c r="C574" s="80"/>
    </row>
    <row r="575" spans="3:3">
      <c r="C575" s="80"/>
    </row>
    <row r="576" spans="3:3">
      <c r="C576" s="80"/>
    </row>
    <row r="577" spans="3:3">
      <c r="C577" s="80"/>
    </row>
    <row r="578" spans="3:3">
      <c r="C578" s="80"/>
    </row>
    <row r="579" spans="3:3">
      <c r="C579" s="80"/>
    </row>
    <row r="580" spans="3:3">
      <c r="C580" s="80"/>
    </row>
    <row r="581" spans="3:3">
      <c r="C581" s="80"/>
    </row>
    <row r="582" spans="3:3">
      <c r="C582" s="80"/>
    </row>
    <row r="583" spans="3:3">
      <c r="C583" s="80"/>
    </row>
    <row r="584" spans="3:3">
      <c r="C584" s="80"/>
    </row>
    <row r="585" spans="3:3">
      <c r="C585" s="80"/>
    </row>
    <row r="586" spans="3:3">
      <c r="C586" s="80"/>
    </row>
    <row r="587" spans="3:3">
      <c r="C587" s="80"/>
    </row>
    <row r="588" spans="3:3">
      <c r="C588" s="80"/>
    </row>
    <row r="589" spans="3:3">
      <c r="C589" s="80"/>
    </row>
    <row r="590" spans="3:3">
      <c r="C590" s="80"/>
    </row>
    <row r="591" spans="3:3">
      <c r="C591" s="80"/>
    </row>
    <row r="592" spans="3:3">
      <c r="C592" s="80"/>
    </row>
    <row r="593" spans="3:3">
      <c r="C593" s="80"/>
    </row>
    <row r="594" spans="3:3">
      <c r="C594" s="80"/>
    </row>
    <row r="595" spans="3:3">
      <c r="C595" s="80"/>
    </row>
    <row r="596" spans="3:3">
      <c r="C596" s="80"/>
    </row>
    <row r="597" spans="3:3">
      <c r="C597" s="80"/>
    </row>
    <row r="598" spans="3:3">
      <c r="C598" s="80"/>
    </row>
    <row r="599" spans="3:3">
      <c r="C599" s="80"/>
    </row>
    <row r="600" spans="3:3">
      <c r="C600" s="80"/>
    </row>
    <row r="601" spans="3:3">
      <c r="C601" s="80"/>
    </row>
    <row r="602" spans="3:3">
      <c r="C602" s="80"/>
    </row>
    <row r="603" spans="3:3">
      <c r="C603" s="80"/>
    </row>
    <row r="604" spans="3:3">
      <c r="C604" s="80"/>
    </row>
    <row r="605" spans="3:3">
      <c r="C605" s="80"/>
    </row>
    <row r="606" spans="3:3">
      <c r="C606" s="80"/>
    </row>
    <row r="607" spans="3:3">
      <c r="C607" s="80"/>
    </row>
    <row r="608" spans="3:3">
      <c r="C608" s="80"/>
    </row>
    <row r="609" spans="3:3">
      <c r="C609" s="80"/>
    </row>
    <row r="610" spans="3:3">
      <c r="C610" s="80"/>
    </row>
    <row r="611" spans="3:3">
      <c r="C611" s="80"/>
    </row>
    <row r="612" spans="3:3">
      <c r="C612" s="80"/>
    </row>
    <row r="613" spans="3:3">
      <c r="C613" s="80"/>
    </row>
    <row r="614" spans="3:3">
      <c r="C614" s="80"/>
    </row>
    <row r="615" spans="3:3">
      <c r="C615" s="80"/>
    </row>
    <row r="616" spans="3:3">
      <c r="C616" s="80"/>
    </row>
    <row r="617" spans="3:3">
      <c r="C617" s="80"/>
    </row>
    <row r="618" spans="3:3">
      <c r="C618" s="80"/>
    </row>
    <row r="619" spans="3:3">
      <c r="C619" s="80"/>
    </row>
    <row r="620" spans="3:3">
      <c r="C620" s="80"/>
    </row>
    <row r="621" spans="3:3">
      <c r="C621" s="80"/>
    </row>
    <row r="622" spans="3:3">
      <c r="C622" s="80"/>
    </row>
    <row r="623" spans="3:3">
      <c r="C623" s="80"/>
    </row>
    <row r="624" spans="3:3">
      <c r="C624" s="80"/>
    </row>
    <row r="625" spans="3:3">
      <c r="C625" s="80"/>
    </row>
    <row r="626" spans="3:3">
      <c r="C626" s="80"/>
    </row>
    <row r="627" spans="3:3">
      <c r="C627" s="80"/>
    </row>
    <row r="628" spans="3:3">
      <c r="C628" s="80"/>
    </row>
    <row r="629" spans="3:3">
      <c r="C629" s="80"/>
    </row>
    <row r="630" spans="3:3">
      <c r="C630" s="80"/>
    </row>
    <row r="631" spans="3:3">
      <c r="C631" s="80"/>
    </row>
    <row r="632" spans="3:3">
      <c r="C632" s="80"/>
    </row>
    <row r="633" spans="3:3">
      <c r="C633" s="80"/>
    </row>
    <row r="634" spans="3:3">
      <c r="C634" s="80"/>
    </row>
    <row r="635" spans="3:3">
      <c r="C635" s="80"/>
    </row>
    <row r="636" spans="3:3">
      <c r="C636" s="80"/>
    </row>
    <row r="637" spans="3:3">
      <c r="C637" s="80"/>
    </row>
    <row r="638" spans="3:3">
      <c r="C638" s="80"/>
    </row>
    <row r="639" spans="3:3">
      <c r="C639" s="80"/>
    </row>
    <row r="640" spans="3:3">
      <c r="C640" s="80"/>
    </row>
    <row r="641" spans="3:3">
      <c r="C641" s="80"/>
    </row>
    <row r="642" spans="3:3">
      <c r="C642" s="80"/>
    </row>
    <row r="643" spans="3:3">
      <c r="C643" s="80"/>
    </row>
    <row r="644" spans="3:3">
      <c r="C644" s="80"/>
    </row>
    <row r="645" spans="3:3">
      <c r="C645" s="80"/>
    </row>
    <row r="646" spans="3:3">
      <c r="C646" s="80"/>
    </row>
    <row r="647" spans="3:3">
      <c r="C647" s="80"/>
    </row>
    <row r="648" spans="3:3">
      <c r="C648" s="80"/>
    </row>
    <row r="649" spans="3:3">
      <c r="C649" s="80"/>
    </row>
    <row r="650" spans="3:3">
      <c r="C650" s="80"/>
    </row>
    <row r="651" spans="3:3">
      <c r="C651" s="80"/>
    </row>
    <row r="652" spans="3:3">
      <c r="C652" s="80"/>
    </row>
    <row r="653" spans="3:3">
      <c r="C653" s="80"/>
    </row>
    <row r="654" spans="3:3">
      <c r="C654" s="80"/>
    </row>
    <row r="655" spans="3:3">
      <c r="C655" s="80"/>
    </row>
    <row r="656" spans="3:3">
      <c r="C656" s="80"/>
    </row>
    <row r="657" spans="3:3">
      <c r="C657" s="80"/>
    </row>
    <row r="658" spans="3:3">
      <c r="C658" s="80"/>
    </row>
    <row r="659" spans="3:3">
      <c r="C659" s="80"/>
    </row>
    <row r="660" spans="3:3">
      <c r="C660" s="80"/>
    </row>
    <row r="661" spans="3:3">
      <c r="C661" s="80"/>
    </row>
    <row r="662" spans="3:3">
      <c r="C662" s="80"/>
    </row>
    <row r="663" spans="3:3">
      <c r="C663" s="80"/>
    </row>
    <row r="664" spans="3:3">
      <c r="C664" s="80"/>
    </row>
    <row r="665" spans="3:3">
      <c r="C665" s="80"/>
    </row>
    <row r="666" spans="3:3">
      <c r="C666" s="80"/>
    </row>
    <row r="667" spans="3:3">
      <c r="C667" s="80"/>
    </row>
    <row r="668" spans="3:3">
      <c r="C668" s="80"/>
    </row>
    <row r="669" spans="3:3">
      <c r="C669" s="80"/>
    </row>
    <row r="670" spans="3:3">
      <c r="C670" s="80"/>
    </row>
    <row r="671" spans="3:3">
      <c r="C671" s="80"/>
    </row>
    <row r="672" spans="3:3">
      <c r="C672" s="80"/>
    </row>
    <row r="673" spans="3:3">
      <c r="C673" s="80"/>
    </row>
    <row r="674" spans="3:3">
      <c r="C674" s="80"/>
    </row>
    <row r="675" spans="3:3">
      <c r="C675" s="80"/>
    </row>
    <row r="676" spans="3:3">
      <c r="C676" s="80"/>
    </row>
    <row r="677" spans="3:3">
      <c r="C677" s="80"/>
    </row>
    <row r="678" spans="3:3">
      <c r="C678" s="80"/>
    </row>
    <row r="679" spans="3:3">
      <c r="C679" s="80"/>
    </row>
    <row r="680" spans="3:3">
      <c r="C680" s="80"/>
    </row>
    <row r="681" spans="3:3">
      <c r="C681" s="80"/>
    </row>
    <row r="682" spans="3:3">
      <c r="C682" s="80"/>
    </row>
    <row r="683" spans="3:3">
      <c r="C683" s="80"/>
    </row>
    <row r="684" spans="3:3">
      <c r="C684" s="80"/>
    </row>
    <row r="685" spans="3:3">
      <c r="C685" s="80"/>
    </row>
    <row r="686" spans="3:3">
      <c r="C686" s="80"/>
    </row>
    <row r="687" spans="3:3">
      <c r="C687" s="80"/>
    </row>
    <row r="688" spans="3:3">
      <c r="C688" s="80"/>
    </row>
    <row r="689" spans="3:3">
      <c r="C689" s="80"/>
    </row>
    <row r="690" spans="3:3">
      <c r="C690" s="80"/>
    </row>
    <row r="691" spans="3:3">
      <c r="C691" s="80"/>
    </row>
    <row r="692" spans="3:3">
      <c r="C692" s="80"/>
    </row>
    <row r="693" spans="3:3">
      <c r="C693" s="80"/>
    </row>
    <row r="694" spans="3:3">
      <c r="C694" s="80"/>
    </row>
    <row r="695" spans="3:3">
      <c r="C695" s="80"/>
    </row>
    <row r="696" spans="3:3">
      <c r="C696" s="80"/>
    </row>
    <row r="697" spans="3:3">
      <c r="C697" s="80"/>
    </row>
    <row r="698" spans="3:3">
      <c r="C698" s="80"/>
    </row>
    <row r="699" spans="3:3">
      <c r="C699" s="80"/>
    </row>
    <row r="700" spans="3:3">
      <c r="C700" s="80"/>
    </row>
    <row r="701" spans="3:3">
      <c r="C701" s="80"/>
    </row>
    <row r="702" spans="3:3">
      <c r="C702" s="80"/>
    </row>
    <row r="703" spans="3:3">
      <c r="C703" s="80"/>
    </row>
    <row r="704" spans="3:3">
      <c r="C704" s="80"/>
    </row>
    <row r="705" spans="3:3">
      <c r="C705" s="80"/>
    </row>
    <row r="706" spans="3:3">
      <c r="C706" s="80"/>
    </row>
    <row r="707" spans="3:3">
      <c r="C707" s="80"/>
    </row>
    <row r="708" spans="3:3">
      <c r="C708" s="80"/>
    </row>
    <row r="709" spans="3:3">
      <c r="C709" s="80"/>
    </row>
    <row r="710" spans="3:3">
      <c r="C710" s="80"/>
    </row>
    <row r="711" spans="3:3">
      <c r="C711" s="80"/>
    </row>
    <row r="712" spans="3:3">
      <c r="C712" s="80"/>
    </row>
    <row r="713" spans="3:3">
      <c r="C713" s="80"/>
    </row>
    <row r="714" spans="3:3">
      <c r="C714" s="80"/>
    </row>
    <row r="715" spans="3:3">
      <c r="C715" s="80"/>
    </row>
    <row r="716" spans="3:3">
      <c r="C716" s="80"/>
    </row>
    <row r="717" spans="3:3">
      <c r="C717" s="80"/>
    </row>
    <row r="718" spans="3:3">
      <c r="C718" s="80"/>
    </row>
    <row r="719" spans="3:3">
      <c r="C719" s="80"/>
    </row>
    <row r="720" spans="3:3">
      <c r="C720" s="80"/>
    </row>
    <row r="721" spans="3:3">
      <c r="C721" s="80"/>
    </row>
    <row r="722" spans="3:3">
      <c r="C722" s="80"/>
    </row>
    <row r="723" spans="3:3">
      <c r="C723" s="80"/>
    </row>
    <row r="724" spans="3:3">
      <c r="C724" s="80"/>
    </row>
    <row r="725" spans="3:3">
      <c r="C725" s="80"/>
    </row>
    <row r="726" spans="3:3">
      <c r="C726" s="80"/>
    </row>
    <row r="727" spans="3:3">
      <c r="C727" s="80"/>
    </row>
    <row r="728" spans="3:3">
      <c r="C728" s="80"/>
    </row>
    <row r="729" spans="3:3">
      <c r="C729" s="80"/>
    </row>
    <row r="730" spans="3:3">
      <c r="C730" s="80"/>
    </row>
    <row r="731" spans="3:3">
      <c r="C731" s="80"/>
    </row>
    <row r="732" spans="3:3">
      <c r="C732" s="80"/>
    </row>
    <row r="733" spans="3:3">
      <c r="C733" s="80"/>
    </row>
    <row r="734" spans="3:3">
      <c r="C734" s="80"/>
    </row>
    <row r="735" spans="3:3">
      <c r="C735" s="80"/>
    </row>
    <row r="736" spans="3:3">
      <c r="C736" s="80"/>
    </row>
    <row r="737" spans="3:3">
      <c r="C737" s="80"/>
    </row>
    <row r="738" spans="3:3">
      <c r="C738" s="80"/>
    </row>
    <row r="739" spans="3:3">
      <c r="C739" s="80"/>
    </row>
    <row r="740" spans="3:3">
      <c r="C740" s="80"/>
    </row>
    <row r="741" spans="3:3">
      <c r="C741" s="80"/>
    </row>
    <row r="742" spans="3:3">
      <c r="C742" s="80"/>
    </row>
    <row r="743" spans="3:3">
      <c r="C743" s="80"/>
    </row>
    <row r="744" spans="3:3">
      <c r="C744" s="80"/>
    </row>
    <row r="745" spans="3:3">
      <c r="C745" s="80"/>
    </row>
    <row r="746" spans="3:3">
      <c r="C746" s="80"/>
    </row>
    <row r="747" spans="3:3">
      <c r="C747" s="80"/>
    </row>
    <row r="748" spans="3:3">
      <c r="C748" s="80"/>
    </row>
    <row r="749" spans="3:3">
      <c r="C749" s="80"/>
    </row>
    <row r="750" spans="3:3">
      <c r="C750" s="80"/>
    </row>
    <row r="751" spans="3:3">
      <c r="C751" s="80"/>
    </row>
    <row r="752" spans="3:3">
      <c r="C752" s="80"/>
    </row>
    <row r="753" spans="3:3">
      <c r="C753" s="80"/>
    </row>
    <row r="754" spans="3:3">
      <c r="C754" s="80"/>
    </row>
    <row r="755" spans="3:3">
      <c r="C755" s="80"/>
    </row>
    <row r="756" spans="3:3">
      <c r="C756" s="80"/>
    </row>
    <row r="757" spans="3:3">
      <c r="C757" s="80"/>
    </row>
    <row r="758" spans="3:3">
      <c r="C758" s="80"/>
    </row>
    <row r="759" spans="3:3">
      <c r="C759" s="80"/>
    </row>
    <row r="760" spans="3:3">
      <c r="C760" s="80"/>
    </row>
    <row r="761" spans="3:3">
      <c r="C761" s="80"/>
    </row>
    <row r="762" spans="3:3">
      <c r="C762" s="80"/>
    </row>
    <row r="763" spans="3:3">
      <c r="C763" s="80"/>
    </row>
    <row r="764" spans="3:3">
      <c r="C764" s="80"/>
    </row>
    <row r="765" spans="3:3">
      <c r="C765" s="80"/>
    </row>
    <row r="766" spans="3:3">
      <c r="C766" s="80"/>
    </row>
    <row r="767" spans="3:3">
      <c r="C767" s="80"/>
    </row>
    <row r="768" spans="3:3">
      <c r="C768" s="80"/>
    </row>
    <row r="769" spans="3:3">
      <c r="C769" s="80"/>
    </row>
    <row r="770" spans="3:3">
      <c r="C770" s="80"/>
    </row>
    <row r="771" spans="3:3">
      <c r="C771" s="80"/>
    </row>
    <row r="772" spans="3:3">
      <c r="C772" s="80"/>
    </row>
    <row r="773" spans="3:3">
      <c r="C773" s="80"/>
    </row>
    <row r="774" spans="3:3">
      <c r="C774" s="80"/>
    </row>
    <row r="775" spans="3:3">
      <c r="C775" s="80"/>
    </row>
    <row r="776" spans="3:3">
      <c r="C776" s="80"/>
    </row>
    <row r="777" spans="3:3">
      <c r="C777" s="80"/>
    </row>
    <row r="778" spans="3:3">
      <c r="C778" s="80"/>
    </row>
    <row r="779" spans="3:3">
      <c r="C779" s="80"/>
    </row>
    <row r="780" spans="3:3">
      <c r="C780" s="80"/>
    </row>
    <row r="781" spans="3:3">
      <c r="C781" s="80"/>
    </row>
    <row r="782" spans="3:3">
      <c r="C782" s="80"/>
    </row>
    <row r="783" spans="3:3">
      <c r="C783" s="80"/>
    </row>
    <row r="784" spans="3:3">
      <c r="C784" s="80"/>
    </row>
    <row r="785" spans="3:3">
      <c r="C785" s="80"/>
    </row>
    <row r="786" spans="3:3">
      <c r="C786" s="80"/>
    </row>
    <row r="787" spans="3:3">
      <c r="C787" s="80"/>
    </row>
    <row r="788" spans="3:3">
      <c r="C788" s="80"/>
    </row>
    <row r="789" spans="3:3">
      <c r="C789" s="80"/>
    </row>
    <row r="790" spans="3:3">
      <c r="C790" s="80"/>
    </row>
    <row r="791" spans="3:3">
      <c r="C791" s="80"/>
    </row>
    <row r="792" spans="3:3">
      <c r="C792" s="80"/>
    </row>
    <row r="793" spans="3:3">
      <c r="C793" s="80"/>
    </row>
    <row r="794" spans="3:3">
      <c r="C794" s="80"/>
    </row>
    <row r="795" spans="3:3">
      <c r="C795" s="80"/>
    </row>
    <row r="796" spans="3:3">
      <c r="C796" s="80"/>
    </row>
    <row r="797" spans="3:3">
      <c r="C797" s="80"/>
    </row>
    <row r="798" spans="3:3">
      <c r="C798" s="80"/>
    </row>
    <row r="799" spans="3:3">
      <c r="C799" s="80"/>
    </row>
    <row r="800" spans="3:3">
      <c r="C800" s="80"/>
    </row>
    <row r="801" spans="3:3">
      <c r="C801" s="80"/>
    </row>
    <row r="802" spans="3:3">
      <c r="C802" s="80"/>
    </row>
    <row r="803" spans="3:3">
      <c r="C803" s="80"/>
    </row>
    <row r="804" spans="3:3">
      <c r="C804" s="80"/>
    </row>
    <row r="805" spans="3:3">
      <c r="C805" s="80"/>
    </row>
    <row r="806" spans="3:3">
      <c r="C806" s="80"/>
    </row>
    <row r="807" spans="3:3">
      <c r="C807" s="80"/>
    </row>
    <row r="808" spans="3:3">
      <c r="C808" s="80"/>
    </row>
    <row r="809" spans="3:3">
      <c r="C809" s="80"/>
    </row>
    <row r="810" spans="3:3">
      <c r="C810" s="80"/>
    </row>
    <row r="811" spans="3:3">
      <c r="C811" s="80"/>
    </row>
    <row r="812" spans="3:3">
      <c r="C812" s="80"/>
    </row>
    <row r="813" spans="3:3">
      <c r="C813" s="80"/>
    </row>
    <row r="814" spans="3:3">
      <c r="C814" s="80"/>
    </row>
    <row r="815" spans="3:3">
      <c r="C815" s="80"/>
    </row>
    <row r="816" spans="3:3">
      <c r="C816" s="80"/>
    </row>
    <row r="817" spans="3:3">
      <c r="C817" s="80"/>
    </row>
    <row r="818" spans="3:3">
      <c r="C818" s="80"/>
    </row>
    <row r="819" spans="3:3">
      <c r="C819" s="80"/>
    </row>
    <row r="820" spans="3:3">
      <c r="C820" s="80"/>
    </row>
    <row r="821" spans="3:3">
      <c r="C821" s="80"/>
    </row>
    <row r="822" spans="3:3">
      <c r="C822" s="80"/>
    </row>
    <row r="823" spans="3:3">
      <c r="C823" s="80"/>
    </row>
    <row r="824" spans="3:3">
      <c r="C824" s="80"/>
    </row>
    <row r="825" spans="3:3">
      <c r="C825" s="80"/>
    </row>
    <row r="826" spans="3:3">
      <c r="C826" s="80"/>
    </row>
    <row r="827" spans="3:3">
      <c r="C827" s="80"/>
    </row>
    <row r="828" spans="3:3">
      <c r="C828" s="80"/>
    </row>
    <row r="829" spans="3:3">
      <c r="C829" s="80"/>
    </row>
    <row r="830" spans="3:3">
      <c r="C830" s="80"/>
    </row>
    <row r="831" spans="3:3">
      <c r="C831" s="80"/>
    </row>
    <row r="832" spans="3:3">
      <c r="C832" s="80"/>
    </row>
    <row r="833" spans="3:3">
      <c r="C833" s="80"/>
    </row>
    <row r="834" spans="3:3">
      <c r="C834" s="80"/>
    </row>
    <row r="835" spans="3:3">
      <c r="C835" s="80"/>
    </row>
    <row r="836" spans="3:3">
      <c r="C836" s="80"/>
    </row>
    <row r="837" spans="3:3">
      <c r="C837" s="80"/>
    </row>
    <row r="838" spans="3:3">
      <c r="C838" s="80"/>
    </row>
    <row r="839" spans="3:3">
      <c r="C839" s="80"/>
    </row>
    <row r="840" spans="3:3">
      <c r="C840" s="80"/>
    </row>
    <row r="841" spans="3:3">
      <c r="C841" s="80"/>
    </row>
    <row r="842" spans="3:3">
      <c r="C842" s="80"/>
    </row>
    <row r="843" spans="3:3">
      <c r="C843" s="80"/>
    </row>
    <row r="844" spans="3:3">
      <c r="C844" s="80"/>
    </row>
    <row r="845" spans="3:3">
      <c r="C845" s="80"/>
    </row>
    <row r="846" spans="3:3">
      <c r="C846" s="80"/>
    </row>
    <row r="847" spans="3:3">
      <c r="C847" s="80"/>
    </row>
    <row r="848" spans="3:3">
      <c r="C848" s="80"/>
    </row>
    <row r="849" spans="3:3">
      <c r="C849" s="80"/>
    </row>
    <row r="850" spans="3:3">
      <c r="C850" s="80"/>
    </row>
    <row r="851" spans="3:3">
      <c r="C851" s="80"/>
    </row>
    <row r="852" spans="3:3">
      <c r="C852" s="80"/>
    </row>
    <row r="853" spans="3:3">
      <c r="C853" s="80"/>
    </row>
    <row r="854" spans="3:3">
      <c r="C854" s="80"/>
    </row>
    <row r="855" spans="3:3">
      <c r="C855" s="80"/>
    </row>
    <row r="856" spans="3:3">
      <c r="C856" s="80"/>
    </row>
    <row r="857" spans="3:3">
      <c r="C857" s="80"/>
    </row>
    <row r="858" spans="3:3">
      <c r="C858" s="80"/>
    </row>
    <row r="859" spans="3:3">
      <c r="C859" s="80"/>
    </row>
    <row r="860" spans="3:3">
      <c r="C860" s="80"/>
    </row>
    <row r="861" spans="3:3">
      <c r="C861" s="80"/>
    </row>
    <row r="862" spans="3:3">
      <c r="C862" s="80"/>
    </row>
    <row r="863" spans="3:3">
      <c r="C863" s="80"/>
    </row>
    <row r="864" spans="3:3">
      <c r="C864" s="80"/>
    </row>
    <row r="865" spans="3:3">
      <c r="C865" s="80"/>
    </row>
    <row r="866" spans="3:3">
      <c r="C866" s="80"/>
    </row>
    <row r="867" spans="3:3">
      <c r="C867" s="80"/>
    </row>
    <row r="868" spans="3:3">
      <c r="C868" s="80"/>
    </row>
    <row r="869" spans="3:3">
      <c r="C869" s="80"/>
    </row>
    <row r="870" spans="3:3">
      <c r="C870" s="80"/>
    </row>
    <row r="871" spans="3:3">
      <c r="C871" s="80"/>
    </row>
    <row r="872" spans="3:3">
      <c r="C872" s="80"/>
    </row>
    <row r="873" spans="3:3">
      <c r="C873" s="80"/>
    </row>
    <row r="874" spans="3:3">
      <c r="C874" s="80"/>
    </row>
    <row r="875" spans="3:3">
      <c r="C875" s="80"/>
    </row>
    <row r="876" spans="3:3">
      <c r="C876" s="80"/>
    </row>
    <row r="877" spans="3:3">
      <c r="C877" s="80"/>
    </row>
    <row r="878" spans="3:3">
      <c r="C878" s="80"/>
    </row>
    <row r="879" spans="3:3">
      <c r="C879" s="80"/>
    </row>
    <row r="880" spans="3:3">
      <c r="C880" s="80"/>
    </row>
    <row r="881" spans="3:3">
      <c r="C881" s="80"/>
    </row>
    <row r="882" spans="3:3">
      <c r="C882" s="80"/>
    </row>
    <row r="883" spans="3:3">
      <c r="C883" s="80"/>
    </row>
    <row r="884" spans="3:3">
      <c r="C884" s="80"/>
    </row>
    <row r="885" spans="3:3">
      <c r="C885" s="80"/>
    </row>
    <row r="886" spans="3:3">
      <c r="C886" s="80"/>
    </row>
    <row r="887" spans="3:3">
      <c r="C887" s="80"/>
    </row>
    <row r="888" spans="3:3">
      <c r="C888" s="80"/>
    </row>
    <row r="889" spans="3:3">
      <c r="C889" s="80"/>
    </row>
    <row r="890" spans="3:3">
      <c r="C890" s="80"/>
    </row>
    <row r="891" spans="3:3">
      <c r="C891" s="80"/>
    </row>
    <row r="892" spans="3:3">
      <c r="C892" s="80"/>
    </row>
    <row r="893" spans="3:3">
      <c r="C893" s="80"/>
    </row>
    <row r="894" spans="3:3">
      <c r="C894" s="80"/>
    </row>
    <row r="895" spans="3:3">
      <c r="C895" s="80"/>
    </row>
    <row r="896" spans="3:3">
      <c r="C896" s="80"/>
    </row>
    <row r="897" spans="3:3">
      <c r="C897" s="80"/>
    </row>
    <row r="898" spans="3:3">
      <c r="C898" s="80"/>
    </row>
    <row r="899" spans="3:3">
      <c r="C899" s="80"/>
    </row>
    <row r="900" spans="3:3">
      <c r="C900" s="80"/>
    </row>
    <row r="901" spans="3:3">
      <c r="C901" s="80"/>
    </row>
    <row r="902" spans="3:3">
      <c r="C902" s="80"/>
    </row>
    <row r="903" spans="3:3">
      <c r="C903" s="80"/>
    </row>
    <row r="904" spans="3:3">
      <c r="C904" s="80"/>
    </row>
    <row r="905" spans="3:3">
      <c r="C905" s="80"/>
    </row>
    <row r="906" spans="3:3">
      <c r="C906" s="80"/>
    </row>
    <row r="907" spans="3:3">
      <c r="C907" s="80"/>
    </row>
    <row r="908" spans="3:3">
      <c r="C908" s="80"/>
    </row>
    <row r="909" spans="3:3">
      <c r="C909" s="80"/>
    </row>
    <row r="910" spans="3:3">
      <c r="C910" s="80"/>
    </row>
    <row r="911" spans="3:3">
      <c r="C911" s="80"/>
    </row>
    <row r="912" spans="3:3">
      <c r="C912" s="80"/>
    </row>
    <row r="913" spans="3:3">
      <c r="C913" s="80"/>
    </row>
    <row r="914" spans="3:3">
      <c r="C914" s="80"/>
    </row>
    <row r="915" spans="3:3">
      <c r="C915" s="80"/>
    </row>
    <row r="916" spans="3:3">
      <c r="C916" s="80"/>
    </row>
    <row r="917" spans="3:3">
      <c r="C917" s="80"/>
    </row>
    <row r="918" spans="3:3">
      <c r="C918" s="80"/>
    </row>
    <row r="919" spans="3:3">
      <c r="C919" s="80"/>
    </row>
    <row r="920" spans="3:3">
      <c r="C920" s="80"/>
    </row>
    <row r="921" spans="3:3">
      <c r="C921" s="80"/>
    </row>
    <row r="922" spans="3:3">
      <c r="C922" s="80"/>
    </row>
    <row r="923" spans="3:3">
      <c r="C923" s="80"/>
    </row>
    <row r="924" spans="3:3">
      <c r="C924" s="80"/>
    </row>
    <row r="925" spans="3:3">
      <c r="C925" s="80"/>
    </row>
    <row r="926" spans="3:3">
      <c r="C926" s="80"/>
    </row>
    <row r="927" spans="3:3">
      <c r="C927" s="80"/>
    </row>
    <row r="928" spans="3:3">
      <c r="C928" s="80"/>
    </row>
    <row r="929" spans="3:3">
      <c r="C929" s="80"/>
    </row>
    <row r="930" spans="3:3">
      <c r="C930" s="80"/>
    </row>
    <row r="931" spans="3:3">
      <c r="C931" s="80"/>
    </row>
    <row r="932" spans="3:3">
      <c r="C932" s="80"/>
    </row>
    <row r="933" spans="3:3">
      <c r="C933" s="80"/>
    </row>
    <row r="934" spans="3:3">
      <c r="C934" s="80"/>
    </row>
    <row r="935" spans="3:3">
      <c r="C935" s="80"/>
    </row>
    <row r="936" spans="3:3">
      <c r="C936" s="80"/>
    </row>
    <row r="937" spans="3:3">
      <c r="C937" s="80"/>
    </row>
    <row r="938" spans="3:3">
      <c r="C938" s="80"/>
    </row>
    <row r="939" spans="3:3">
      <c r="C939" s="80"/>
    </row>
    <row r="940" spans="3:3">
      <c r="C940" s="80"/>
    </row>
    <row r="941" spans="3:3">
      <c r="C941" s="80"/>
    </row>
    <row r="942" spans="3:3">
      <c r="C942" s="80"/>
    </row>
    <row r="943" spans="3:3">
      <c r="C943" s="80"/>
    </row>
    <row r="944" spans="3:3">
      <c r="C944" s="80"/>
    </row>
    <row r="945" spans="3:3">
      <c r="C945" s="80"/>
    </row>
    <row r="946" spans="3:3">
      <c r="C946" s="80"/>
    </row>
    <row r="947" spans="3:3">
      <c r="C947" s="80"/>
    </row>
    <row r="948" spans="3:3">
      <c r="C948" s="80"/>
    </row>
    <row r="949" spans="3:3">
      <c r="C949" s="80"/>
    </row>
    <row r="950" spans="3:3">
      <c r="C950" s="80"/>
    </row>
    <row r="951" spans="3:3">
      <c r="C951" s="80"/>
    </row>
    <row r="952" spans="3:3">
      <c r="C952" s="80"/>
    </row>
    <row r="953" spans="3:3">
      <c r="C953" s="80"/>
    </row>
    <row r="954" spans="3:3">
      <c r="C954" s="80"/>
    </row>
    <row r="955" spans="3:3">
      <c r="C955" s="80"/>
    </row>
    <row r="956" spans="3:3">
      <c r="C956" s="80"/>
    </row>
    <row r="957" spans="3:3">
      <c r="C957" s="80"/>
    </row>
    <row r="958" spans="3:3">
      <c r="C958" s="80"/>
    </row>
    <row r="959" spans="3:3">
      <c r="C959" s="80"/>
    </row>
    <row r="960" spans="3:3">
      <c r="C960" s="80"/>
    </row>
    <row r="961" spans="3:3">
      <c r="C961" s="80"/>
    </row>
    <row r="962" spans="3:3">
      <c r="C962" s="80"/>
    </row>
    <row r="963" spans="3:3">
      <c r="C963" s="80"/>
    </row>
    <row r="964" spans="3:3">
      <c r="C964" s="80"/>
    </row>
    <row r="965" spans="3:3">
      <c r="C965" s="80"/>
    </row>
  </sheetData>
  <mergeCells count="6">
    <mergeCell ref="J9:M9"/>
    <mergeCell ref="N9:Q9"/>
    <mergeCell ref="J10:K10"/>
    <mergeCell ref="L10:M10"/>
    <mergeCell ref="N10:O10"/>
    <mergeCell ref="P10:Q10"/>
  </mergeCells>
  <phoneticPr fontId="20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862C8-6FCB-4B51-B18B-0C76EAE8343B}">
  <dimension ref="A2:B10"/>
  <sheetViews>
    <sheetView tabSelected="1" workbookViewId="0">
      <selection activeCell="B13" sqref="B13"/>
    </sheetView>
  </sheetViews>
  <sheetFormatPr defaultRowHeight="15"/>
  <cols>
    <col min="1" max="1" width="22.5703125" style="84" customWidth="1"/>
    <col min="2" max="2" width="46.7109375" bestFit="1" customWidth="1"/>
  </cols>
  <sheetData>
    <row r="2" spans="1:2" s="84" customFormat="1">
      <c r="A2" s="84" t="s">
        <v>1022</v>
      </c>
      <c r="B2" s="84" t="s">
        <v>1023</v>
      </c>
    </row>
    <row r="3" spans="1:2">
      <c r="A3" s="84">
        <v>-1760149554</v>
      </c>
      <c r="B3" t="s">
        <v>1021</v>
      </c>
    </row>
    <row r="4" spans="1:2">
      <c r="A4" s="84">
        <v>721754389</v>
      </c>
      <c r="B4" t="s">
        <v>1024</v>
      </c>
    </row>
    <row r="5" spans="1:2">
      <c r="A5" s="84">
        <v>-1364842365</v>
      </c>
      <c r="B5" t="s">
        <v>1025</v>
      </c>
    </row>
    <row r="6" spans="1:2">
      <c r="A6" s="84">
        <v>721754553</v>
      </c>
      <c r="B6" t="s">
        <v>1026</v>
      </c>
    </row>
    <row r="7" spans="1:2">
      <c r="A7" s="84">
        <v>-831434595</v>
      </c>
      <c r="B7" t="s">
        <v>1027</v>
      </c>
    </row>
    <row r="8" spans="1:2">
      <c r="A8" s="84">
        <v>-1570540425</v>
      </c>
      <c r="B8" t="s">
        <v>1028</v>
      </c>
    </row>
    <row r="9" spans="1:2">
      <c r="A9" s="84">
        <v>1600357909</v>
      </c>
      <c r="B9" t="s">
        <v>1029</v>
      </c>
    </row>
    <row r="10" spans="1:2">
      <c r="A10" s="84">
        <v>721754589</v>
      </c>
      <c r="B10" t="s">
        <v>1030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1D75-F44C-415A-A500-CD91DD32DC80}">
  <sheetPr>
    <tabColor rgb="FFFF00FF"/>
    <outlinePr summaryBelow="0" summaryRight="0"/>
    <pageSetUpPr fitToPage="1"/>
  </sheetPr>
  <dimension ref="A1:E81"/>
  <sheetViews>
    <sheetView showGridLines="0" workbookViewId="0">
      <selection activeCell="K18" sqref="K18:K19"/>
    </sheetView>
  </sheetViews>
  <sheetFormatPr defaultColWidth="14.42578125" defaultRowHeight="15" customHeight="1"/>
  <cols>
    <col min="1" max="1" width="35.5703125" style="121" bestFit="1" customWidth="1"/>
    <col min="2" max="2" width="12.140625" style="121" customWidth="1"/>
    <col min="3" max="5" width="14.28515625" style="121" customWidth="1"/>
    <col min="6" max="16384" width="14.42578125" style="121"/>
  </cols>
  <sheetData>
    <row r="1" spans="1:5" ht="15.75" customHeight="1">
      <c r="A1" s="127" t="s">
        <v>1293</v>
      </c>
      <c r="B1" s="126" t="s">
        <v>1292</v>
      </c>
      <c r="C1" s="126" t="s">
        <v>709</v>
      </c>
      <c r="D1" s="125" t="s">
        <v>1291</v>
      </c>
      <c r="E1" s="125" t="s">
        <v>1290</v>
      </c>
    </row>
    <row r="2" spans="1:5" ht="16.5">
      <c r="A2" s="124" t="s">
        <v>588</v>
      </c>
      <c r="B2" s="123" t="s">
        <v>1289</v>
      </c>
      <c r="C2" s="122" t="s">
        <v>1203</v>
      </c>
      <c r="D2" s="122">
        <v>16</v>
      </c>
      <c r="E2" s="122">
        <v>24</v>
      </c>
    </row>
    <row r="3" spans="1:5" ht="16.5">
      <c r="A3" s="124" t="s">
        <v>588</v>
      </c>
      <c r="B3" s="123" t="s">
        <v>1288</v>
      </c>
      <c r="C3" s="122" t="s">
        <v>1203</v>
      </c>
      <c r="D3" s="122">
        <v>16</v>
      </c>
      <c r="E3" s="122">
        <v>24</v>
      </c>
    </row>
    <row r="4" spans="1:5" ht="15.75" customHeight="1">
      <c r="A4" s="124" t="s">
        <v>1287</v>
      </c>
      <c r="B4" s="123" t="s">
        <v>1286</v>
      </c>
      <c r="C4" s="122" t="s">
        <v>1203</v>
      </c>
      <c r="D4" s="122">
        <v>16</v>
      </c>
      <c r="E4" s="122">
        <v>24</v>
      </c>
    </row>
    <row r="5" spans="1:5" ht="16.5">
      <c r="A5" s="124" t="s">
        <v>633</v>
      </c>
      <c r="B5" s="123" t="s">
        <v>1285</v>
      </c>
      <c r="C5" s="122" t="s">
        <v>1203</v>
      </c>
      <c r="D5" s="122">
        <v>16</v>
      </c>
      <c r="E5" s="122">
        <v>24</v>
      </c>
    </row>
    <row r="6" spans="1:5" ht="16.5">
      <c r="A6" s="124" t="s">
        <v>633</v>
      </c>
      <c r="B6" s="123" t="s">
        <v>1284</v>
      </c>
      <c r="C6" s="122" t="s">
        <v>1203</v>
      </c>
      <c r="D6" s="122">
        <v>16</v>
      </c>
      <c r="E6" s="122">
        <v>24</v>
      </c>
    </row>
    <row r="7" spans="1:5" ht="16.5">
      <c r="A7" s="124" t="s">
        <v>382</v>
      </c>
      <c r="B7" s="123" t="s">
        <v>1283</v>
      </c>
      <c r="C7" s="122" t="s">
        <v>717</v>
      </c>
      <c r="D7" s="122">
        <v>16</v>
      </c>
      <c r="E7" s="122">
        <v>24</v>
      </c>
    </row>
    <row r="8" spans="1:5" ht="16.5">
      <c r="A8" s="124" t="s">
        <v>382</v>
      </c>
      <c r="B8" s="123" t="s">
        <v>1282</v>
      </c>
      <c r="C8" s="122" t="s">
        <v>717</v>
      </c>
      <c r="D8" s="122">
        <v>16</v>
      </c>
      <c r="E8" s="122">
        <v>24</v>
      </c>
    </row>
    <row r="9" spans="1:5" ht="16.5">
      <c r="A9" s="124" t="s">
        <v>522</v>
      </c>
      <c r="B9" s="123" t="s">
        <v>1281</v>
      </c>
      <c r="C9" s="122" t="s">
        <v>717</v>
      </c>
      <c r="D9" s="122">
        <v>16</v>
      </c>
      <c r="E9" s="122">
        <v>24</v>
      </c>
    </row>
    <row r="10" spans="1:5" ht="15.75" customHeight="1">
      <c r="A10" s="124" t="s">
        <v>522</v>
      </c>
      <c r="B10" s="123" t="s">
        <v>1280</v>
      </c>
      <c r="C10" s="122" t="s">
        <v>717</v>
      </c>
      <c r="D10" s="122">
        <v>16</v>
      </c>
      <c r="E10" s="122">
        <v>24</v>
      </c>
    </row>
    <row r="11" spans="1:5" ht="16.5">
      <c r="A11" s="124" t="s">
        <v>1279</v>
      </c>
      <c r="B11" s="123" t="s">
        <v>1278</v>
      </c>
      <c r="C11" s="122" t="s">
        <v>717</v>
      </c>
      <c r="D11" s="122">
        <v>21</v>
      </c>
      <c r="E11" s="122">
        <f>D11*1.5</f>
        <v>31.5</v>
      </c>
    </row>
    <row r="12" spans="1:5" ht="16.5">
      <c r="A12" s="124" t="s">
        <v>1258</v>
      </c>
      <c r="B12" s="123" t="s">
        <v>1277</v>
      </c>
      <c r="C12" s="122" t="s">
        <v>1203</v>
      </c>
      <c r="D12" s="122">
        <v>20</v>
      </c>
      <c r="E12" s="122">
        <v>30</v>
      </c>
    </row>
    <row r="13" spans="1:5" ht="16.5">
      <c r="A13" s="124" t="s">
        <v>1258</v>
      </c>
      <c r="B13" s="123" t="s">
        <v>1276</v>
      </c>
      <c r="C13" s="122" t="s">
        <v>1203</v>
      </c>
      <c r="D13" s="122">
        <v>20</v>
      </c>
      <c r="E13" s="122">
        <v>30</v>
      </c>
    </row>
    <row r="14" spans="1:5" ht="16.5">
      <c r="A14" s="124" t="s">
        <v>1258</v>
      </c>
      <c r="B14" s="123" t="s">
        <v>1275</v>
      </c>
      <c r="C14" s="122" t="s">
        <v>1203</v>
      </c>
      <c r="D14" s="122">
        <v>20</v>
      </c>
      <c r="E14" s="122">
        <v>30</v>
      </c>
    </row>
    <row r="15" spans="1:5" ht="16.5">
      <c r="A15" s="124" t="s">
        <v>1258</v>
      </c>
      <c r="B15" s="123" t="s">
        <v>1274</v>
      </c>
      <c r="C15" s="122" t="s">
        <v>1203</v>
      </c>
      <c r="D15" s="122">
        <v>20</v>
      </c>
      <c r="E15" s="122">
        <v>30</v>
      </c>
    </row>
    <row r="16" spans="1:5" ht="16.5">
      <c r="A16" s="124" t="s">
        <v>1258</v>
      </c>
      <c r="B16" s="123" t="s">
        <v>1273</v>
      </c>
      <c r="C16" s="122" t="s">
        <v>1203</v>
      </c>
      <c r="D16" s="122">
        <v>20</v>
      </c>
      <c r="E16" s="122">
        <v>30</v>
      </c>
    </row>
    <row r="17" spans="1:5" ht="16.5">
      <c r="A17" s="124" t="s">
        <v>1258</v>
      </c>
      <c r="B17" s="123" t="s">
        <v>1272</v>
      </c>
      <c r="C17" s="122" t="s">
        <v>1203</v>
      </c>
      <c r="D17" s="122">
        <v>20</v>
      </c>
      <c r="E17" s="122">
        <v>30</v>
      </c>
    </row>
    <row r="18" spans="1:5" ht="16.5">
      <c r="A18" s="124" t="s">
        <v>1258</v>
      </c>
      <c r="B18" s="123" t="s">
        <v>1271</v>
      </c>
      <c r="C18" s="122" t="s">
        <v>1203</v>
      </c>
      <c r="D18" s="122">
        <v>20</v>
      </c>
      <c r="E18" s="122">
        <v>30</v>
      </c>
    </row>
    <row r="19" spans="1:5" ht="16.5">
      <c r="A19" s="124" t="s">
        <v>1258</v>
      </c>
      <c r="B19" s="123" t="s">
        <v>1270</v>
      </c>
      <c r="C19" s="122" t="s">
        <v>1203</v>
      </c>
      <c r="D19" s="122">
        <v>20</v>
      </c>
      <c r="E19" s="122">
        <v>30</v>
      </c>
    </row>
    <row r="20" spans="1:5" ht="16.5">
      <c r="A20" s="124" t="s">
        <v>1258</v>
      </c>
      <c r="B20" s="123" t="s">
        <v>1269</v>
      </c>
      <c r="C20" s="122" t="s">
        <v>1203</v>
      </c>
      <c r="D20" s="122">
        <v>20</v>
      </c>
      <c r="E20" s="122">
        <v>30</v>
      </c>
    </row>
    <row r="21" spans="1:5" ht="16.5">
      <c r="A21" s="124" t="s">
        <v>1258</v>
      </c>
      <c r="B21" s="123" t="s">
        <v>1268</v>
      </c>
      <c r="C21" s="122" t="s">
        <v>1203</v>
      </c>
      <c r="D21" s="122">
        <v>20</v>
      </c>
      <c r="E21" s="122">
        <v>30</v>
      </c>
    </row>
    <row r="22" spans="1:5" ht="16.5">
      <c r="A22" s="124" t="s">
        <v>1258</v>
      </c>
      <c r="B22" s="123" t="s">
        <v>1267</v>
      </c>
      <c r="C22" s="122" t="s">
        <v>1203</v>
      </c>
      <c r="D22" s="122">
        <v>20</v>
      </c>
      <c r="E22" s="122">
        <v>30</v>
      </c>
    </row>
    <row r="23" spans="1:5" ht="16.5">
      <c r="A23" s="124" t="s">
        <v>1258</v>
      </c>
      <c r="B23" s="123" t="s">
        <v>1266</v>
      </c>
      <c r="C23" s="122" t="s">
        <v>1203</v>
      </c>
      <c r="D23" s="122">
        <v>20</v>
      </c>
      <c r="E23" s="122">
        <v>30</v>
      </c>
    </row>
    <row r="24" spans="1:5" ht="16.5">
      <c r="A24" s="124" t="s">
        <v>1258</v>
      </c>
      <c r="B24" s="123" t="s">
        <v>1265</v>
      </c>
      <c r="C24" s="122" t="s">
        <v>1203</v>
      </c>
      <c r="D24" s="122">
        <v>20</v>
      </c>
      <c r="E24" s="122">
        <v>30</v>
      </c>
    </row>
    <row r="25" spans="1:5" ht="16.5">
      <c r="A25" s="124" t="s">
        <v>1258</v>
      </c>
      <c r="B25" s="123" t="s">
        <v>1264</v>
      </c>
      <c r="C25" s="122" t="s">
        <v>1203</v>
      </c>
      <c r="D25" s="122">
        <v>20</v>
      </c>
      <c r="E25" s="122">
        <v>30</v>
      </c>
    </row>
    <row r="26" spans="1:5" ht="16.5">
      <c r="A26" s="124" t="s">
        <v>1258</v>
      </c>
      <c r="B26" s="123" t="s">
        <v>1263</v>
      </c>
      <c r="C26" s="122" t="s">
        <v>1203</v>
      </c>
      <c r="D26" s="122">
        <v>20</v>
      </c>
      <c r="E26" s="122">
        <v>30</v>
      </c>
    </row>
    <row r="27" spans="1:5" ht="16.5">
      <c r="A27" s="124" t="s">
        <v>1258</v>
      </c>
      <c r="B27" s="123" t="s">
        <v>1262</v>
      </c>
      <c r="C27" s="122" t="s">
        <v>1203</v>
      </c>
      <c r="D27" s="122">
        <v>20</v>
      </c>
      <c r="E27" s="122">
        <v>30</v>
      </c>
    </row>
    <row r="28" spans="1:5" ht="16.5">
      <c r="A28" s="124" t="s">
        <v>1258</v>
      </c>
      <c r="B28" s="123" t="s">
        <v>1261</v>
      </c>
      <c r="C28" s="122" t="s">
        <v>1203</v>
      </c>
      <c r="D28" s="122">
        <v>20</v>
      </c>
      <c r="E28" s="122">
        <v>30</v>
      </c>
    </row>
    <row r="29" spans="1:5" ht="16.5">
      <c r="A29" s="124" t="s">
        <v>1258</v>
      </c>
      <c r="B29" s="123" t="s">
        <v>1260</v>
      </c>
      <c r="C29" s="122" t="s">
        <v>1203</v>
      </c>
      <c r="D29" s="122">
        <v>20</v>
      </c>
      <c r="E29" s="122">
        <v>30</v>
      </c>
    </row>
    <row r="30" spans="1:5" ht="16.5">
      <c r="A30" s="124" t="s">
        <v>1258</v>
      </c>
      <c r="B30" s="123" t="s">
        <v>1259</v>
      </c>
      <c r="C30" s="122" t="s">
        <v>1203</v>
      </c>
      <c r="D30" s="122">
        <v>20</v>
      </c>
      <c r="E30" s="122">
        <v>30</v>
      </c>
    </row>
    <row r="31" spans="1:5" ht="16.5">
      <c r="A31" s="124" t="s">
        <v>1258</v>
      </c>
      <c r="B31" s="123" t="s">
        <v>1257</v>
      </c>
      <c r="C31" s="122" t="s">
        <v>1203</v>
      </c>
      <c r="D31" s="122">
        <v>20</v>
      </c>
      <c r="E31" s="122">
        <v>30</v>
      </c>
    </row>
    <row r="32" spans="1:5" ht="16.5">
      <c r="A32" s="124" t="s">
        <v>523</v>
      </c>
      <c r="B32" s="123" t="s">
        <v>1256</v>
      </c>
      <c r="C32" s="122" t="s">
        <v>1255</v>
      </c>
      <c r="D32" s="122">
        <v>16</v>
      </c>
      <c r="E32" s="122">
        <v>24</v>
      </c>
    </row>
    <row r="33" spans="1:5" ht="16.5">
      <c r="A33" s="124" t="s">
        <v>523</v>
      </c>
      <c r="B33" s="123" t="s">
        <v>1254</v>
      </c>
      <c r="C33" s="122" t="s">
        <v>717</v>
      </c>
      <c r="D33" s="122">
        <v>16</v>
      </c>
      <c r="E33" s="122">
        <v>24</v>
      </c>
    </row>
    <row r="34" spans="1:5" ht="16.5">
      <c r="A34" s="124" t="s">
        <v>523</v>
      </c>
      <c r="B34" s="123" t="s">
        <v>1253</v>
      </c>
      <c r="C34" s="122" t="s">
        <v>717</v>
      </c>
      <c r="D34" s="122">
        <v>16</v>
      </c>
      <c r="E34" s="122">
        <v>24</v>
      </c>
    </row>
    <row r="35" spans="1:5" ht="16.5">
      <c r="A35" s="124" t="s">
        <v>515</v>
      </c>
      <c r="B35" s="123" t="s">
        <v>1252</v>
      </c>
      <c r="C35" s="122" t="s">
        <v>1203</v>
      </c>
      <c r="D35" s="122">
        <v>16</v>
      </c>
      <c r="E35" s="122">
        <v>24</v>
      </c>
    </row>
    <row r="36" spans="1:5" ht="16.5">
      <c r="A36" s="124" t="s">
        <v>515</v>
      </c>
      <c r="B36" s="123" t="s">
        <v>1251</v>
      </c>
      <c r="C36" s="122" t="s">
        <v>1203</v>
      </c>
      <c r="D36" s="122">
        <v>16</v>
      </c>
      <c r="E36" s="122">
        <v>24</v>
      </c>
    </row>
    <row r="37" spans="1:5" ht="16.5">
      <c r="A37" s="124" t="s">
        <v>651</v>
      </c>
      <c r="B37" s="123" t="s">
        <v>1250</v>
      </c>
      <c r="C37" s="122" t="s">
        <v>1249</v>
      </c>
      <c r="D37" s="122">
        <v>20</v>
      </c>
      <c r="E37" s="122">
        <v>30</v>
      </c>
    </row>
    <row r="38" spans="1:5" ht="16.5">
      <c r="A38" s="124" t="s">
        <v>651</v>
      </c>
      <c r="B38" s="123" t="s">
        <v>1248</v>
      </c>
      <c r="C38" s="122" t="s">
        <v>717</v>
      </c>
      <c r="D38" s="122">
        <v>20</v>
      </c>
      <c r="E38" s="122">
        <v>30</v>
      </c>
    </row>
    <row r="39" spans="1:5" ht="16.5">
      <c r="A39" s="124" t="s">
        <v>651</v>
      </c>
      <c r="B39" s="123" t="s">
        <v>1247</v>
      </c>
      <c r="C39" s="122" t="s">
        <v>717</v>
      </c>
      <c r="D39" s="122">
        <v>20</v>
      </c>
      <c r="E39" s="122">
        <v>30</v>
      </c>
    </row>
    <row r="40" spans="1:5" ht="15.75" customHeight="1">
      <c r="A40" s="124" t="s">
        <v>651</v>
      </c>
      <c r="B40" s="123" t="s">
        <v>1246</v>
      </c>
      <c r="C40" s="122" t="s">
        <v>717</v>
      </c>
      <c r="D40" s="122">
        <v>20</v>
      </c>
      <c r="E40" s="122">
        <v>30</v>
      </c>
    </row>
    <row r="41" spans="1:5" ht="16.5">
      <c r="A41" s="124" t="s">
        <v>651</v>
      </c>
      <c r="B41" s="123" t="s">
        <v>1245</v>
      </c>
      <c r="C41" s="122" t="s">
        <v>717</v>
      </c>
      <c r="D41" s="122">
        <v>20</v>
      </c>
      <c r="E41" s="122">
        <v>30</v>
      </c>
    </row>
    <row r="42" spans="1:5" ht="16.5">
      <c r="A42" s="124" t="s">
        <v>651</v>
      </c>
      <c r="B42" s="123" t="s">
        <v>1244</v>
      </c>
      <c r="C42" s="122" t="s">
        <v>717</v>
      </c>
      <c r="D42" s="122">
        <v>20</v>
      </c>
      <c r="E42" s="122">
        <v>30</v>
      </c>
    </row>
    <row r="43" spans="1:5" ht="16.5">
      <c r="A43" s="124" t="s">
        <v>696</v>
      </c>
      <c r="B43" s="123" t="s">
        <v>1243</v>
      </c>
      <c r="C43" s="122" t="s">
        <v>1203</v>
      </c>
      <c r="D43" s="122">
        <v>16</v>
      </c>
      <c r="E43" s="122">
        <v>24</v>
      </c>
    </row>
    <row r="44" spans="1:5" ht="16.5">
      <c r="A44" s="124" t="s">
        <v>696</v>
      </c>
      <c r="B44" s="123" t="s">
        <v>1242</v>
      </c>
      <c r="C44" s="122" t="s">
        <v>717</v>
      </c>
      <c r="D44" s="122">
        <v>16</v>
      </c>
      <c r="E44" s="122">
        <v>24</v>
      </c>
    </row>
    <row r="45" spans="1:5" ht="16.5">
      <c r="A45" s="124" t="s">
        <v>696</v>
      </c>
      <c r="B45" s="123" t="s">
        <v>1241</v>
      </c>
      <c r="C45" s="122" t="s">
        <v>717</v>
      </c>
      <c r="D45" s="122">
        <v>16</v>
      </c>
      <c r="E45" s="122">
        <v>24</v>
      </c>
    </row>
    <row r="46" spans="1:5" ht="16.5">
      <c r="A46" s="124" t="s">
        <v>696</v>
      </c>
      <c r="B46" s="123" t="s">
        <v>1240</v>
      </c>
      <c r="C46" s="122" t="s">
        <v>717</v>
      </c>
      <c r="D46" s="122">
        <v>16</v>
      </c>
      <c r="E46" s="122">
        <v>24</v>
      </c>
    </row>
    <row r="47" spans="1:5" ht="16.5">
      <c r="A47" s="124" t="s">
        <v>696</v>
      </c>
      <c r="B47" s="123" t="s">
        <v>1239</v>
      </c>
      <c r="C47" s="122" t="s">
        <v>1203</v>
      </c>
      <c r="D47" s="122">
        <v>16</v>
      </c>
      <c r="E47" s="122">
        <v>24</v>
      </c>
    </row>
    <row r="48" spans="1:5" ht="16.5">
      <c r="A48" s="124" t="s">
        <v>696</v>
      </c>
      <c r="B48" s="123" t="s">
        <v>1238</v>
      </c>
      <c r="C48" s="122" t="s">
        <v>1203</v>
      </c>
      <c r="D48" s="122">
        <v>16</v>
      </c>
      <c r="E48" s="122">
        <v>24</v>
      </c>
    </row>
    <row r="49" spans="1:5" ht="16.5">
      <c r="A49" s="124" t="s">
        <v>1233</v>
      </c>
      <c r="B49" s="123" t="s">
        <v>1237</v>
      </c>
      <c r="C49" s="122" t="s">
        <v>717</v>
      </c>
      <c r="D49" s="122">
        <v>16</v>
      </c>
      <c r="E49" s="122">
        <v>24</v>
      </c>
    </row>
    <row r="50" spans="1:5" ht="16.5">
      <c r="A50" s="124" t="s">
        <v>1233</v>
      </c>
      <c r="B50" s="123" t="s">
        <v>1236</v>
      </c>
      <c r="C50" s="122" t="s">
        <v>717</v>
      </c>
      <c r="D50" s="122">
        <v>16</v>
      </c>
      <c r="E50" s="122">
        <v>24</v>
      </c>
    </row>
    <row r="51" spans="1:5" ht="16.5">
      <c r="A51" s="124" t="s">
        <v>1233</v>
      </c>
      <c r="B51" s="123" t="s">
        <v>1235</v>
      </c>
      <c r="C51" s="122" t="s">
        <v>717</v>
      </c>
      <c r="D51" s="122">
        <v>16</v>
      </c>
      <c r="E51" s="122">
        <v>24</v>
      </c>
    </row>
    <row r="52" spans="1:5" ht="16.5">
      <c r="A52" s="124" t="s">
        <v>1233</v>
      </c>
      <c r="B52" s="123" t="s">
        <v>1234</v>
      </c>
      <c r="C52" s="122" t="s">
        <v>717</v>
      </c>
      <c r="D52" s="122">
        <v>16</v>
      </c>
      <c r="E52" s="122">
        <v>24</v>
      </c>
    </row>
    <row r="53" spans="1:5" ht="16.5">
      <c r="A53" s="124" t="s">
        <v>1233</v>
      </c>
      <c r="B53" s="123" t="s">
        <v>1232</v>
      </c>
      <c r="C53" s="122" t="s">
        <v>717</v>
      </c>
      <c r="D53" s="122">
        <v>16</v>
      </c>
      <c r="E53" s="122">
        <v>24</v>
      </c>
    </row>
    <row r="54" spans="1:5" ht="16.5">
      <c r="A54" s="124" t="s">
        <v>393</v>
      </c>
      <c r="B54" s="123" t="s">
        <v>1231</v>
      </c>
      <c r="C54" s="122" t="str">
        <f>VLOOKUP($B54,[1]Филиал!$A:$C,2,0)</f>
        <v>МО-36</v>
      </c>
      <c r="D54" s="122">
        <v>16</v>
      </c>
      <c r="E54" s="122">
        <v>24</v>
      </c>
    </row>
    <row r="55" spans="1:5" ht="16.5">
      <c r="A55" s="124" t="s">
        <v>393</v>
      </c>
      <c r="B55" s="123" t="s">
        <v>1230</v>
      </c>
      <c r="C55" s="122" t="s">
        <v>1203</v>
      </c>
      <c r="D55" s="122">
        <v>16</v>
      </c>
      <c r="E55" s="122">
        <v>24</v>
      </c>
    </row>
    <row r="56" spans="1:5" ht="16.5">
      <c r="A56" s="124" t="s">
        <v>393</v>
      </c>
      <c r="B56" s="123" t="s">
        <v>1229</v>
      </c>
      <c r="C56" s="122" t="s">
        <v>1203</v>
      </c>
      <c r="D56" s="122">
        <v>16</v>
      </c>
      <c r="E56" s="129">
        <v>24</v>
      </c>
    </row>
    <row r="57" spans="1:5" ht="16.5">
      <c r="A57" s="124" t="s">
        <v>393</v>
      </c>
      <c r="B57" s="123" t="s">
        <v>1228</v>
      </c>
      <c r="C57" s="122" t="s">
        <v>1203</v>
      </c>
      <c r="D57" s="122">
        <v>16</v>
      </c>
      <c r="E57" s="122">
        <v>24</v>
      </c>
    </row>
    <row r="58" spans="1:5" ht="16.5">
      <c r="A58" s="124" t="s">
        <v>393</v>
      </c>
      <c r="B58" s="123" t="s">
        <v>1227</v>
      </c>
      <c r="C58" s="122" t="s">
        <v>1203</v>
      </c>
      <c r="D58" s="122">
        <v>16</v>
      </c>
      <c r="E58" s="122">
        <v>24</v>
      </c>
    </row>
    <row r="59" spans="1:5" ht="16.5">
      <c r="A59" s="124" t="s">
        <v>393</v>
      </c>
      <c r="B59" s="123" t="s">
        <v>1226</v>
      </c>
      <c r="C59" s="122" t="s">
        <v>1203</v>
      </c>
      <c r="D59" s="122">
        <v>16</v>
      </c>
      <c r="E59" s="122">
        <v>24</v>
      </c>
    </row>
    <row r="60" spans="1:5" ht="16.5">
      <c r="A60" s="124" t="s">
        <v>393</v>
      </c>
      <c r="B60" s="123" t="s">
        <v>1225</v>
      </c>
      <c r="C60" s="122" t="s">
        <v>1203</v>
      </c>
      <c r="D60" s="122">
        <v>16</v>
      </c>
      <c r="E60" s="122">
        <v>24</v>
      </c>
    </row>
    <row r="61" spans="1:5" ht="16.5">
      <c r="A61" s="124" t="s">
        <v>393</v>
      </c>
      <c r="B61" s="123" t="s">
        <v>1224</v>
      </c>
      <c r="C61" s="122" t="s">
        <v>1203</v>
      </c>
      <c r="D61" s="122">
        <v>16</v>
      </c>
      <c r="E61" s="122">
        <v>24</v>
      </c>
    </row>
    <row r="62" spans="1:5" ht="16.5">
      <c r="A62" s="124" t="s">
        <v>393</v>
      </c>
      <c r="B62" s="123" t="s">
        <v>1223</v>
      </c>
      <c r="C62" s="122" t="s">
        <v>1203</v>
      </c>
      <c r="D62" s="122">
        <v>16</v>
      </c>
      <c r="E62" s="122">
        <v>24</v>
      </c>
    </row>
    <row r="63" spans="1:5" ht="16.5">
      <c r="A63" s="124" t="s">
        <v>393</v>
      </c>
      <c r="B63" s="123" t="s">
        <v>1222</v>
      </c>
      <c r="C63" s="122" t="s">
        <v>1203</v>
      </c>
      <c r="D63" s="122">
        <v>16</v>
      </c>
      <c r="E63" s="122">
        <v>24</v>
      </c>
    </row>
    <row r="64" spans="1:5" ht="16.5">
      <c r="A64" s="124" t="s">
        <v>393</v>
      </c>
      <c r="B64" s="123" t="s">
        <v>1221</v>
      </c>
      <c r="C64" s="122" t="s">
        <v>1203</v>
      </c>
      <c r="D64" s="122">
        <v>16</v>
      </c>
      <c r="E64" s="122">
        <v>24</v>
      </c>
    </row>
    <row r="65" spans="1:5" ht="16.5">
      <c r="A65" s="124" t="s">
        <v>393</v>
      </c>
      <c r="B65" s="123" t="s">
        <v>1220</v>
      </c>
      <c r="C65" s="122" t="s">
        <v>1203</v>
      </c>
      <c r="D65" s="122">
        <v>16</v>
      </c>
      <c r="E65" s="122">
        <v>24</v>
      </c>
    </row>
    <row r="66" spans="1:5" ht="16.5">
      <c r="A66" s="124" t="s">
        <v>393</v>
      </c>
      <c r="B66" s="123" t="s">
        <v>1219</v>
      </c>
      <c r="C66" s="122" t="s">
        <v>1203</v>
      </c>
      <c r="D66" s="122">
        <v>16</v>
      </c>
      <c r="E66" s="122">
        <v>24</v>
      </c>
    </row>
    <row r="67" spans="1:5" ht="16.5">
      <c r="A67" s="124" t="s">
        <v>393</v>
      </c>
      <c r="B67" s="123" t="s">
        <v>1218</v>
      </c>
      <c r="C67" s="122" t="s">
        <v>1203</v>
      </c>
      <c r="D67" s="122">
        <v>16</v>
      </c>
      <c r="E67" s="122">
        <v>24</v>
      </c>
    </row>
    <row r="68" spans="1:5" ht="16.5">
      <c r="A68" s="124" t="s">
        <v>393</v>
      </c>
      <c r="B68" s="123" t="s">
        <v>1217</v>
      </c>
      <c r="C68" s="122" t="s">
        <v>1203</v>
      </c>
      <c r="D68" s="122">
        <v>16</v>
      </c>
      <c r="E68" s="122">
        <v>24</v>
      </c>
    </row>
    <row r="69" spans="1:5" ht="16.5">
      <c r="A69" s="124" t="s">
        <v>393</v>
      </c>
      <c r="B69" s="123" t="s">
        <v>1216</v>
      </c>
      <c r="C69" s="122" t="s">
        <v>1203</v>
      </c>
      <c r="D69" s="122">
        <v>16</v>
      </c>
      <c r="E69" s="122">
        <v>24</v>
      </c>
    </row>
    <row r="70" spans="1:5" ht="16.5">
      <c r="A70" s="124" t="s">
        <v>393</v>
      </c>
      <c r="B70" s="123" t="s">
        <v>1215</v>
      </c>
      <c r="C70" s="122" t="s">
        <v>1203</v>
      </c>
      <c r="D70" s="122">
        <v>16</v>
      </c>
      <c r="E70" s="122">
        <v>24</v>
      </c>
    </row>
    <row r="71" spans="1:5" ht="16.5">
      <c r="A71" s="124" t="s">
        <v>393</v>
      </c>
      <c r="B71" s="123" t="s">
        <v>1214</v>
      </c>
      <c r="C71" s="122" t="s">
        <v>1203</v>
      </c>
      <c r="D71" s="122">
        <v>16</v>
      </c>
      <c r="E71" s="122">
        <v>24</v>
      </c>
    </row>
    <row r="72" spans="1:5" ht="16.5">
      <c r="A72" s="124" t="s">
        <v>393</v>
      </c>
      <c r="B72" s="123" t="s">
        <v>1213</v>
      </c>
      <c r="C72" s="122" t="s">
        <v>1203</v>
      </c>
      <c r="D72" s="122">
        <v>16</v>
      </c>
      <c r="E72" s="122">
        <v>24</v>
      </c>
    </row>
    <row r="73" spans="1:5" ht="16.5">
      <c r="A73" s="124" t="s">
        <v>393</v>
      </c>
      <c r="B73" s="123" t="s">
        <v>1212</v>
      </c>
      <c r="C73" s="122" t="s">
        <v>1203</v>
      </c>
      <c r="D73" s="122">
        <v>16</v>
      </c>
      <c r="E73" s="122">
        <v>24</v>
      </c>
    </row>
    <row r="74" spans="1:5" ht="16.5">
      <c r="A74" s="124" t="s">
        <v>393</v>
      </c>
      <c r="B74" s="123" t="s">
        <v>1211</v>
      </c>
      <c r="C74" s="122" t="s">
        <v>1203</v>
      </c>
      <c r="D74" s="122">
        <v>16</v>
      </c>
      <c r="E74" s="122">
        <v>24</v>
      </c>
    </row>
    <row r="75" spans="1:5" ht="16.5">
      <c r="A75" s="124" t="s">
        <v>393</v>
      </c>
      <c r="B75" s="123" t="s">
        <v>1210</v>
      </c>
      <c r="C75" s="122" t="s">
        <v>1203</v>
      </c>
      <c r="D75" s="122">
        <v>16</v>
      </c>
      <c r="E75" s="122">
        <v>24</v>
      </c>
    </row>
    <row r="76" spans="1:5" ht="16.5">
      <c r="A76" s="124" t="s">
        <v>393</v>
      </c>
      <c r="B76" s="123" t="s">
        <v>1209</v>
      </c>
      <c r="C76" s="122" t="str">
        <f>VLOOKUP($B76,[1]Филиал!$A:$C,2,0)</f>
        <v>МО-36</v>
      </c>
      <c r="D76" s="122">
        <v>16</v>
      </c>
      <c r="E76" s="122">
        <v>24</v>
      </c>
    </row>
    <row r="77" spans="1:5" ht="16.5">
      <c r="A77" s="124" t="s">
        <v>393</v>
      </c>
      <c r="B77" s="123" t="s">
        <v>1208</v>
      </c>
      <c r="C77" s="122" t="s">
        <v>1203</v>
      </c>
      <c r="D77" s="122">
        <v>16</v>
      </c>
      <c r="E77" s="122">
        <v>24</v>
      </c>
    </row>
    <row r="78" spans="1:5" ht="16.5">
      <c r="A78" s="124" t="s">
        <v>393</v>
      </c>
      <c r="B78" s="123" t="s">
        <v>1207</v>
      </c>
      <c r="C78" s="122" t="s">
        <v>1203</v>
      </c>
      <c r="D78" s="122">
        <v>16</v>
      </c>
      <c r="E78" s="122">
        <v>24</v>
      </c>
    </row>
    <row r="79" spans="1:5" ht="16.5">
      <c r="A79" s="124" t="s">
        <v>393</v>
      </c>
      <c r="B79" s="123" t="s">
        <v>1206</v>
      </c>
      <c r="C79" s="122" t="s">
        <v>1203</v>
      </c>
      <c r="D79" s="122">
        <v>16</v>
      </c>
      <c r="E79" s="122">
        <v>24</v>
      </c>
    </row>
    <row r="80" spans="1:5" ht="16.5">
      <c r="A80" s="124" t="s">
        <v>393</v>
      </c>
      <c r="B80" s="123" t="s">
        <v>1205</v>
      </c>
      <c r="C80" s="122" t="s">
        <v>1203</v>
      </c>
      <c r="D80" s="122">
        <v>16</v>
      </c>
      <c r="E80" s="122">
        <v>24</v>
      </c>
    </row>
    <row r="81" spans="1:5" ht="15.75" customHeight="1">
      <c r="A81" s="124" t="s">
        <v>393</v>
      </c>
      <c r="B81" s="123" t="s">
        <v>1204</v>
      </c>
      <c r="C81" s="122" t="s">
        <v>1203</v>
      </c>
      <c r="D81" s="122">
        <v>16</v>
      </c>
      <c r="E81" s="122">
        <v>24</v>
      </c>
    </row>
  </sheetData>
  <autoFilter ref="A1:E81" xr:uid="{00000000-0001-0000-0B00-000000000000}"/>
  <printOptions horizontalCentered="1" verticalCentered="1" gridLines="1"/>
  <pageMargins left="0.25" right="0.25" top="0.75" bottom="0.75" header="0" footer="0"/>
  <pageSetup paperSize="9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D54A-B6B0-4D90-9DB4-7FFBD6AE637D}">
  <dimension ref="A2:B6"/>
  <sheetViews>
    <sheetView workbookViewId="0">
      <selection activeCell="A2" sqref="A2:B6"/>
    </sheetView>
  </sheetViews>
  <sheetFormatPr defaultRowHeight="15"/>
  <cols>
    <col min="1" max="1" width="14.7109375" bestFit="1" customWidth="1"/>
    <col min="2" max="2" width="80.5703125" style="84" bestFit="1" customWidth="1"/>
  </cols>
  <sheetData>
    <row r="2" spans="1:2">
      <c r="A2" t="s">
        <v>1323</v>
      </c>
      <c r="B2" s="84" t="s">
        <v>1328</v>
      </c>
    </row>
    <row r="3" spans="1:2">
      <c r="A3" t="s">
        <v>1324</v>
      </c>
      <c r="B3" s="84" t="s">
        <v>1329</v>
      </c>
    </row>
    <row r="4" spans="1:2">
      <c r="A4" t="s">
        <v>1325</v>
      </c>
      <c r="B4" s="84" t="s">
        <v>1327</v>
      </c>
    </row>
    <row r="5" spans="1:2">
      <c r="A5" t="s">
        <v>1326</v>
      </c>
      <c r="B5" s="135" t="s">
        <v>1330</v>
      </c>
    </row>
    <row r="6" spans="1:2">
      <c r="A6" t="s">
        <v>1331</v>
      </c>
      <c r="B6" s="84" t="s">
        <v>1332</v>
      </c>
    </row>
  </sheetData>
  <hyperlinks>
    <hyperlink ref="B5" r:id="rId1" xr:uid="{49292431-3114-453C-96B1-F1F1D1D8B28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5635C-D315-4CE9-ADE2-54126C174FE3}">
  <dimension ref="A1:AD30"/>
  <sheetViews>
    <sheetView workbookViewId="0">
      <selection activeCell="A29" sqref="A29:X29"/>
    </sheetView>
  </sheetViews>
  <sheetFormatPr defaultRowHeight="15"/>
  <cols>
    <col min="5" max="5" width="0.85546875" customWidth="1"/>
    <col min="7" max="7" width="2.42578125" customWidth="1"/>
    <col min="11" max="11" width="2.42578125" customWidth="1"/>
    <col min="15" max="15" width="2.42578125" customWidth="1"/>
    <col min="16" max="16" width="9.140625" customWidth="1"/>
    <col min="19" max="19" width="2.42578125" customWidth="1"/>
    <col min="20" max="21" width="10.85546875" style="84" customWidth="1"/>
    <col min="22" max="22" width="2.42578125" customWidth="1"/>
    <col min="23" max="24" width="10.85546875" style="84" customWidth="1"/>
    <col min="25" max="25" width="1.140625" customWidth="1"/>
    <col min="26" max="27" width="16.7109375" customWidth="1"/>
    <col min="28" max="28" width="1" customWidth="1"/>
    <col min="29" max="30" width="16.7109375" customWidth="1"/>
  </cols>
  <sheetData>
    <row r="1" spans="1:30">
      <c r="A1" s="176" t="s">
        <v>1031</v>
      </c>
      <c r="B1" s="176"/>
      <c r="C1" s="176"/>
      <c r="D1" s="176"/>
      <c r="E1" s="176"/>
      <c r="F1" s="176"/>
    </row>
    <row r="3" spans="1:30" s="85" customFormat="1">
      <c r="A3" s="175" t="s">
        <v>1032</v>
      </c>
      <c r="B3" s="175"/>
      <c r="C3" s="175"/>
      <c r="D3" s="86" t="s">
        <v>1034</v>
      </c>
      <c r="E3" s="84"/>
      <c r="F3" s="86" t="s">
        <v>1033</v>
      </c>
      <c r="H3" s="175" t="s">
        <v>1035</v>
      </c>
      <c r="I3" s="169"/>
      <c r="J3" s="170"/>
      <c r="L3" s="175" t="s">
        <v>1036</v>
      </c>
      <c r="M3" s="169"/>
      <c r="N3" s="170"/>
      <c r="P3" s="175" t="s">
        <v>1037</v>
      </c>
      <c r="Q3" s="175"/>
      <c r="R3" s="173"/>
      <c r="Z3" s="176" t="s">
        <v>1039</v>
      </c>
      <c r="AA3" s="176"/>
      <c r="AB3" s="176"/>
      <c r="AC3" s="176"/>
      <c r="AD3" s="176"/>
    </row>
    <row r="4" spans="1:30" s="85" customFormat="1">
      <c r="A4" s="175" t="s">
        <v>1038</v>
      </c>
      <c r="B4" s="175"/>
      <c r="C4" s="175"/>
      <c r="D4" s="175"/>
      <c r="E4" s="175"/>
      <c r="F4" s="175"/>
      <c r="H4" s="175"/>
      <c r="I4" s="171"/>
      <c r="J4" s="172"/>
      <c r="L4" s="175"/>
      <c r="M4" s="171"/>
      <c r="N4" s="172"/>
      <c r="P4" s="175"/>
      <c r="Q4" s="175"/>
      <c r="R4" s="174"/>
      <c r="Z4" s="175" t="s">
        <v>1016</v>
      </c>
      <c r="AA4" s="175"/>
      <c r="AC4" s="175" t="s">
        <v>1019</v>
      </c>
      <c r="AD4" s="175"/>
    </row>
    <row r="5" spans="1:30" s="85" customFormat="1">
      <c r="A5" s="84"/>
      <c r="B5" s="84"/>
      <c r="C5" s="84"/>
      <c r="D5" s="84"/>
      <c r="E5" s="84"/>
      <c r="F5" s="84"/>
      <c r="H5" s="84"/>
      <c r="I5" s="128"/>
      <c r="J5" s="84"/>
      <c r="L5" s="84"/>
      <c r="M5" s="128"/>
      <c r="N5" s="84"/>
      <c r="P5" s="84"/>
      <c r="Q5" s="84"/>
      <c r="R5" s="84"/>
      <c r="Z5" s="84"/>
      <c r="AA5" s="84"/>
      <c r="AC5" s="84"/>
      <c r="AD5" s="84"/>
    </row>
    <row r="6" spans="1:30" s="85" customFormat="1" ht="15.75" thickBot="1">
      <c r="A6" s="177" t="s">
        <v>1294</v>
      </c>
      <c r="B6" s="178"/>
      <c r="C6" s="179"/>
      <c r="D6" s="177" t="s">
        <v>1295</v>
      </c>
      <c r="E6" s="178"/>
      <c r="F6" s="178"/>
      <c r="G6" s="178"/>
      <c r="H6" s="179"/>
      <c r="I6" s="177" t="s">
        <v>1296</v>
      </c>
      <c r="J6" s="178"/>
      <c r="K6" s="178"/>
      <c r="L6" s="179"/>
      <c r="M6" s="177" t="s">
        <v>1297</v>
      </c>
      <c r="N6" s="178"/>
      <c r="O6" s="178"/>
      <c r="P6" s="179"/>
      <c r="Q6" s="177"/>
      <c r="R6" s="178"/>
      <c r="S6" s="178"/>
      <c r="T6" s="179"/>
      <c r="U6" s="87"/>
      <c r="W6" s="84"/>
      <c r="X6" s="87"/>
    </row>
    <row r="7" spans="1:30" s="85" customFormat="1">
      <c r="A7" s="156" t="s">
        <v>1042</v>
      </c>
      <c r="B7" s="158" t="s">
        <v>1043</v>
      </c>
      <c r="C7" s="158"/>
      <c r="D7" s="158" t="s">
        <v>1044</v>
      </c>
      <c r="E7" s="158"/>
      <c r="F7" s="159"/>
      <c r="G7" s="160" t="s">
        <v>1048</v>
      </c>
      <c r="H7" s="161"/>
      <c r="I7" s="161"/>
      <c r="J7" s="161"/>
      <c r="K7" s="161"/>
      <c r="L7" s="161"/>
      <c r="M7" s="161"/>
      <c r="N7" s="161"/>
      <c r="O7" s="161"/>
      <c r="P7" s="161"/>
      <c r="Q7" s="162"/>
      <c r="R7" s="156" t="s">
        <v>1049</v>
      </c>
      <c r="S7" s="158"/>
      <c r="T7" s="158"/>
      <c r="U7" s="166"/>
      <c r="V7" s="167"/>
      <c r="W7" s="148" t="s">
        <v>1053</v>
      </c>
      <c r="X7" s="149"/>
    </row>
    <row r="8" spans="1:30" s="85" customFormat="1">
      <c r="A8" s="157"/>
      <c r="B8" s="154"/>
      <c r="C8" s="154"/>
      <c r="D8" s="154"/>
      <c r="E8" s="154"/>
      <c r="F8" s="155"/>
      <c r="G8" s="157" t="s">
        <v>1020</v>
      </c>
      <c r="H8" s="154"/>
      <c r="I8" s="154" t="s">
        <v>1045</v>
      </c>
      <c r="J8" s="154"/>
      <c r="K8" s="154" t="s">
        <v>1046</v>
      </c>
      <c r="L8" s="154"/>
      <c r="M8" s="154"/>
      <c r="N8" s="154"/>
      <c r="O8" s="154" t="s">
        <v>1047</v>
      </c>
      <c r="P8" s="154"/>
      <c r="Q8" s="155"/>
      <c r="R8" s="164" t="s">
        <v>1050</v>
      </c>
      <c r="S8" s="165"/>
      <c r="T8" s="90" t="s">
        <v>1051</v>
      </c>
      <c r="U8" s="165" t="s">
        <v>1052</v>
      </c>
      <c r="V8" s="168"/>
      <c r="W8" s="91" t="s">
        <v>1054</v>
      </c>
      <c r="X8" s="92" t="s">
        <v>1055</v>
      </c>
      <c r="Z8" s="84" t="s">
        <v>1040</v>
      </c>
      <c r="AA8" s="87" t="s">
        <v>1041</v>
      </c>
      <c r="AC8" s="84" t="s">
        <v>1040</v>
      </c>
      <c r="AD8" s="87" t="s">
        <v>1041</v>
      </c>
    </row>
    <row r="9" spans="1:30" s="85" customFormat="1">
      <c r="A9" s="93"/>
      <c r="B9" s="151"/>
      <c r="C9" s="151"/>
      <c r="D9" s="151"/>
      <c r="E9" s="151"/>
      <c r="F9" s="163"/>
      <c r="G9" s="150"/>
      <c r="H9" s="151"/>
      <c r="I9" s="151"/>
      <c r="J9" s="151"/>
      <c r="K9" s="151"/>
      <c r="L9" s="151"/>
      <c r="M9" s="151"/>
      <c r="N9" s="151"/>
      <c r="O9" s="151"/>
      <c r="P9" s="151"/>
      <c r="Q9" s="163"/>
      <c r="R9" s="150"/>
      <c r="S9" s="151"/>
      <c r="T9" s="88"/>
      <c r="U9" s="152"/>
      <c r="V9" s="153"/>
      <c r="W9" s="100"/>
      <c r="X9" s="94"/>
      <c r="Z9" s="85">
        <v>78</v>
      </c>
      <c r="AA9" s="85">
        <v>59</v>
      </c>
      <c r="AC9" s="85">
        <v>52</v>
      </c>
      <c r="AD9" s="85">
        <v>38</v>
      </c>
    </row>
    <row r="10" spans="1:30" s="85" customFormat="1">
      <c r="A10" s="95"/>
      <c r="B10" s="142"/>
      <c r="C10" s="142"/>
      <c r="D10" s="142"/>
      <c r="E10" s="142"/>
      <c r="F10" s="143"/>
      <c r="G10" s="144"/>
      <c r="H10" s="142"/>
      <c r="I10" s="142"/>
      <c r="J10" s="142"/>
      <c r="K10" s="142"/>
      <c r="L10" s="142"/>
      <c r="M10" s="142"/>
      <c r="N10" s="142"/>
      <c r="O10" s="142"/>
      <c r="P10" s="142"/>
      <c r="Q10" s="143"/>
      <c r="R10" s="144"/>
      <c r="S10" s="142"/>
      <c r="T10" s="89"/>
      <c r="U10" s="137"/>
      <c r="V10" s="138"/>
      <c r="W10" s="101"/>
      <c r="X10" s="96"/>
    </row>
    <row r="11" spans="1:30" s="85" customFormat="1">
      <c r="A11" s="95"/>
      <c r="B11" s="142"/>
      <c r="C11" s="142"/>
      <c r="D11" s="142"/>
      <c r="E11" s="142"/>
      <c r="F11" s="143"/>
      <c r="G11" s="144"/>
      <c r="H11" s="142"/>
      <c r="I11" s="142"/>
      <c r="J11" s="142"/>
      <c r="K11" s="142"/>
      <c r="L11" s="142"/>
      <c r="M11" s="142"/>
      <c r="N11" s="142"/>
      <c r="O11" s="142"/>
      <c r="P11" s="142"/>
      <c r="Q11" s="143"/>
      <c r="R11" s="144"/>
      <c r="S11" s="142"/>
      <c r="T11" s="89"/>
      <c r="U11" s="137"/>
      <c r="V11" s="138"/>
      <c r="W11" s="101"/>
      <c r="X11" s="96"/>
    </row>
    <row r="12" spans="1:30" s="85" customFormat="1">
      <c r="A12" s="95"/>
      <c r="B12" s="142"/>
      <c r="C12" s="142"/>
      <c r="D12" s="142"/>
      <c r="E12" s="142"/>
      <c r="F12" s="143"/>
      <c r="G12" s="144"/>
      <c r="H12" s="142"/>
      <c r="I12" s="142"/>
      <c r="J12" s="142"/>
      <c r="K12" s="142"/>
      <c r="L12" s="142"/>
      <c r="M12" s="142"/>
      <c r="N12" s="142"/>
      <c r="O12" s="142"/>
      <c r="P12" s="142"/>
      <c r="Q12" s="143"/>
      <c r="R12" s="144"/>
      <c r="S12" s="142"/>
      <c r="T12" s="89"/>
      <c r="U12" s="137"/>
      <c r="V12" s="138"/>
      <c r="W12" s="101"/>
      <c r="X12" s="96"/>
    </row>
    <row r="13" spans="1:30" s="85" customFormat="1">
      <c r="A13" s="95"/>
      <c r="B13" s="142"/>
      <c r="C13" s="142"/>
      <c r="D13" s="142"/>
      <c r="E13" s="142"/>
      <c r="F13" s="143"/>
      <c r="G13" s="144"/>
      <c r="H13" s="142"/>
      <c r="I13" s="142"/>
      <c r="J13" s="142"/>
      <c r="K13" s="142"/>
      <c r="L13" s="142"/>
      <c r="M13" s="142"/>
      <c r="N13" s="142"/>
      <c r="O13" s="142"/>
      <c r="P13" s="142"/>
      <c r="Q13" s="143"/>
      <c r="R13" s="144"/>
      <c r="S13" s="142"/>
      <c r="T13" s="89"/>
      <c r="U13" s="137"/>
      <c r="V13" s="138"/>
      <c r="W13" s="101"/>
      <c r="X13" s="96"/>
    </row>
    <row r="14" spans="1:30" s="85" customFormat="1">
      <c r="A14" s="95"/>
      <c r="B14" s="142"/>
      <c r="C14" s="142"/>
      <c r="D14" s="142"/>
      <c r="E14" s="142"/>
      <c r="F14" s="143"/>
      <c r="G14" s="144"/>
      <c r="H14" s="142"/>
      <c r="I14" s="142"/>
      <c r="J14" s="142"/>
      <c r="K14" s="142"/>
      <c r="L14" s="142"/>
      <c r="M14" s="142"/>
      <c r="N14" s="142"/>
      <c r="O14" s="142"/>
      <c r="P14" s="142"/>
      <c r="Q14" s="143"/>
      <c r="R14" s="144"/>
      <c r="S14" s="142"/>
      <c r="T14" s="89"/>
      <c r="U14" s="137"/>
      <c r="V14" s="138"/>
      <c r="W14" s="101"/>
      <c r="X14" s="96"/>
    </row>
    <row r="15" spans="1:30" s="85" customFormat="1">
      <c r="A15" s="95"/>
      <c r="B15" s="142"/>
      <c r="C15" s="142"/>
      <c r="D15" s="142"/>
      <c r="E15" s="142"/>
      <c r="F15" s="143"/>
      <c r="G15" s="144"/>
      <c r="H15" s="142"/>
      <c r="I15" s="142"/>
      <c r="J15" s="142"/>
      <c r="K15" s="142"/>
      <c r="L15" s="142"/>
      <c r="M15" s="142"/>
      <c r="N15" s="142"/>
      <c r="O15" s="142"/>
      <c r="P15" s="142"/>
      <c r="Q15" s="143"/>
      <c r="R15" s="144"/>
      <c r="S15" s="142"/>
      <c r="T15" s="89"/>
      <c r="U15" s="137"/>
      <c r="V15" s="138"/>
      <c r="W15" s="101"/>
      <c r="X15" s="96"/>
    </row>
    <row r="16" spans="1:30" s="85" customFormat="1">
      <c r="A16" s="95"/>
      <c r="B16" s="142"/>
      <c r="C16" s="142"/>
      <c r="D16" s="142"/>
      <c r="E16" s="142"/>
      <c r="F16" s="143"/>
      <c r="G16" s="144"/>
      <c r="H16" s="142"/>
      <c r="I16" s="142"/>
      <c r="J16" s="142"/>
      <c r="K16" s="142"/>
      <c r="L16" s="142"/>
      <c r="M16" s="142"/>
      <c r="N16" s="142"/>
      <c r="O16" s="142"/>
      <c r="P16" s="142"/>
      <c r="Q16" s="143"/>
      <c r="R16" s="144"/>
      <c r="S16" s="142"/>
      <c r="T16" s="89"/>
      <c r="U16" s="137"/>
      <c r="V16" s="138"/>
      <c r="W16" s="101"/>
      <c r="X16" s="96"/>
    </row>
    <row r="17" spans="1:24" s="85" customFormat="1">
      <c r="A17" s="95"/>
      <c r="B17" s="142"/>
      <c r="C17" s="142"/>
      <c r="D17" s="142"/>
      <c r="E17" s="142"/>
      <c r="F17" s="143"/>
      <c r="G17" s="144"/>
      <c r="H17" s="142"/>
      <c r="I17" s="142"/>
      <c r="J17" s="142"/>
      <c r="K17" s="142"/>
      <c r="L17" s="142"/>
      <c r="M17" s="142"/>
      <c r="N17" s="142"/>
      <c r="O17" s="142"/>
      <c r="P17" s="142"/>
      <c r="Q17" s="143"/>
      <c r="R17" s="144"/>
      <c r="S17" s="142"/>
      <c r="T17" s="89"/>
      <c r="U17" s="137"/>
      <c r="V17" s="138"/>
      <c r="W17" s="101"/>
      <c r="X17" s="96"/>
    </row>
    <row r="18" spans="1:24" s="85" customFormat="1">
      <c r="A18" s="95"/>
      <c r="B18" s="142"/>
      <c r="C18" s="142"/>
      <c r="D18" s="142"/>
      <c r="E18" s="142"/>
      <c r="F18" s="143"/>
      <c r="G18" s="144"/>
      <c r="H18" s="142"/>
      <c r="I18" s="142"/>
      <c r="J18" s="142"/>
      <c r="K18" s="142"/>
      <c r="L18" s="142"/>
      <c r="M18" s="142"/>
      <c r="N18" s="142"/>
      <c r="O18" s="142"/>
      <c r="P18" s="142"/>
      <c r="Q18" s="143"/>
      <c r="R18" s="144"/>
      <c r="S18" s="142"/>
      <c r="T18" s="89"/>
      <c r="U18" s="137"/>
      <c r="V18" s="138"/>
      <c r="W18" s="101"/>
      <c r="X18" s="96"/>
    </row>
    <row r="19" spans="1:24" s="85" customFormat="1">
      <c r="A19" s="95"/>
      <c r="B19" s="142"/>
      <c r="C19" s="142"/>
      <c r="D19" s="142"/>
      <c r="E19" s="142"/>
      <c r="F19" s="143"/>
      <c r="G19" s="144"/>
      <c r="H19" s="142"/>
      <c r="I19" s="142"/>
      <c r="J19" s="142"/>
      <c r="K19" s="142"/>
      <c r="L19" s="142"/>
      <c r="M19" s="142"/>
      <c r="N19" s="142"/>
      <c r="O19" s="142"/>
      <c r="P19" s="142"/>
      <c r="Q19" s="143"/>
      <c r="R19" s="144"/>
      <c r="S19" s="142"/>
      <c r="T19" s="89"/>
      <c r="U19" s="137"/>
      <c r="V19" s="138"/>
      <c r="W19" s="101"/>
      <c r="X19" s="96"/>
    </row>
    <row r="20" spans="1:24" s="85" customFormat="1">
      <c r="A20" s="95"/>
      <c r="B20" s="142"/>
      <c r="C20" s="142"/>
      <c r="D20" s="142"/>
      <c r="E20" s="142"/>
      <c r="F20" s="143"/>
      <c r="G20" s="144"/>
      <c r="H20" s="142"/>
      <c r="I20" s="142"/>
      <c r="J20" s="142"/>
      <c r="K20" s="142"/>
      <c r="L20" s="142"/>
      <c r="M20" s="142"/>
      <c r="N20" s="142"/>
      <c r="O20" s="142"/>
      <c r="P20" s="142"/>
      <c r="Q20" s="143"/>
      <c r="R20" s="144"/>
      <c r="S20" s="142"/>
      <c r="T20" s="89"/>
      <c r="U20" s="137"/>
      <c r="V20" s="138"/>
      <c r="W20" s="101"/>
      <c r="X20" s="96"/>
    </row>
    <row r="21" spans="1:24" s="85" customFormat="1">
      <c r="A21" s="95"/>
      <c r="B21" s="142"/>
      <c r="C21" s="142"/>
      <c r="D21" s="142"/>
      <c r="E21" s="142"/>
      <c r="F21" s="143"/>
      <c r="G21" s="144"/>
      <c r="H21" s="142"/>
      <c r="I21" s="142"/>
      <c r="J21" s="142"/>
      <c r="K21" s="142"/>
      <c r="L21" s="142"/>
      <c r="M21" s="142"/>
      <c r="N21" s="142"/>
      <c r="O21" s="142"/>
      <c r="P21" s="142"/>
      <c r="Q21" s="143"/>
      <c r="R21" s="144"/>
      <c r="S21" s="142"/>
      <c r="T21" s="89"/>
      <c r="U21" s="137"/>
      <c r="V21" s="138"/>
      <c r="W21" s="101"/>
      <c r="X21" s="96"/>
    </row>
    <row r="22" spans="1:24" s="85" customFormat="1">
      <c r="A22" s="95"/>
      <c r="B22" s="142"/>
      <c r="C22" s="142"/>
      <c r="D22" s="142"/>
      <c r="E22" s="142"/>
      <c r="F22" s="143"/>
      <c r="G22" s="144"/>
      <c r="H22" s="142"/>
      <c r="I22" s="142"/>
      <c r="J22" s="142"/>
      <c r="K22" s="142"/>
      <c r="L22" s="142"/>
      <c r="M22" s="142"/>
      <c r="N22" s="142"/>
      <c r="O22" s="142"/>
      <c r="P22" s="142"/>
      <c r="Q22" s="143"/>
      <c r="R22" s="144"/>
      <c r="S22" s="142"/>
      <c r="T22" s="89"/>
      <c r="U22" s="137"/>
      <c r="V22" s="138"/>
      <c r="W22" s="101"/>
      <c r="X22" s="96"/>
    </row>
    <row r="23" spans="1:24" s="85" customFormat="1">
      <c r="A23" s="95"/>
      <c r="B23" s="142"/>
      <c r="C23" s="142"/>
      <c r="D23" s="142"/>
      <c r="E23" s="142"/>
      <c r="F23" s="143"/>
      <c r="G23" s="144"/>
      <c r="H23" s="142"/>
      <c r="I23" s="142"/>
      <c r="J23" s="142"/>
      <c r="K23" s="142"/>
      <c r="L23" s="142"/>
      <c r="M23" s="142"/>
      <c r="N23" s="142"/>
      <c r="O23" s="142"/>
      <c r="P23" s="142"/>
      <c r="Q23" s="143"/>
      <c r="R23" s="144"/>
      <c r="S23" s="142"/>
      <c r="T23" s="89"/>
      <c r="U23" s="137"/>
      <c r="V23" s="138"/>
      <c r="W23" s="101"/>
      <c r="X23" s="96"/>
    </row>
    <row r="24" spans="1:24" s="85" customFormat="1">
      <c r="A24" s="95"/>
      <c r="B24" s="142"/>
      <c r="C24" s="142"/>
      <c r="D24" s="142"/>
      <c r="E24" s="142"/>
      <c r="F24" s="143"/>
      <c r="G24" s="144"/>
      <c r="H24" s="142"/>
      <c r="I24" s="142"/>
      <c r="J24" s="142"/>
      <c r="K24" s="142"/>
      <c r="L24" s="142"/>
      <c r="M24" s="142"/>
      <c r="N24" s="142"/>
      <c r="O24" s="142"/>
      <c r="P24" s="142"/>
      <c r="Q24" s="143"/>
      <c r="R24" s="144"/>
      <c r="S24" s="142"/>
      <c r="T24" s="89"/>
      <c r="U24" s="137"/>
      <c r="V24" s="138"/>
      <c r="W24" s="101"/>
      <c r="X24" s="96"/>
    </row>
    <row r="25" spans="1:24" s="85" customFormat="1" ht="15.75" thickBot="1">
      <c r="A25" s="97"/>
      <c r="B25" s="145"/>
      <c r="C25" s="145"/>
      <c r="D25" s="145"/>
      <c r="E25" s="145"/>
      <c r="F25" s="146"/>
      <c r="G25" s="147"/>
      <c r="H25" s="145"/>
      <c r="I25" s="145"/>
      <c r="J25" s="145"/>
      <c r="K25" s="145"/>
      <c r="L25" s="145"/>
      <c r="M25" s="145"/>
      <c r="N25" s="145"/>
      <c r="O25" s="145"/>
      <c r="P25" s="145"/>
      <c r="Q25" s="146"/>
      <c r="R25" s="147"/>
      <c r="S25" s="145"/>
      <c r="T25" s="98"/>
      <c r="U25" s="139"/>
      <c r="V25" s="140"/>
      <c r="W25" s="102"/>
      <c r="X25" s="99"/>
    </row>
    <row r="26" spans="1:24" s="85" customFormat="1">
      <c r="T26" s="84"/>
      <c r="U26" s="84"/>
      <c r="W26" s="84"/>
      <c r="X26" s="84"/>
    </row>
    <row r="29" spans="1:24" ht="180" customHeight="1">
      <c r="A29" s="141" t="s">
        <v>1056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</row>
    <row r="30" spans="1:24" ht="180" customHeight="1">
      <c r="A30" s="141" t="s">
        <v>1057</v>
      </c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</row>
  </sheetData>
  <mergeCells count="167">
    <mergeCell ref="A6:C6"/>
    <mergeCell ref="G8:H8"/>
    <mergeCell ref="I8:J8"/>
    <mergeCell ref="A1:F1"/>
    <mergeCell ref="A3:C3"/>
    <mergeCell ref="A4:F4"/>
    <mergeCell ref="H3:H4"/>
    <mergeCell ref="I3:J4"/>
    <mergeCell ref="L3:L4"/>
    <mergeCell ref="D6:H6"/>
    <mergeCell ref="M3:N4"/>
    <mergeCell ref="R3:R4"/>
    <mergeCell ref="P3:Q4"/>
    <mergeCell ref="AC4:AD4"/>
    <mergeCell ref="Z4:AA4"/>
    <mergeCell ref="Z3:AD3"/>
    <mergeCell ref="Q6:T6"/>
    <mergeCell ref="M6:P6"/>
    <mergeCell ref="I6:L6"/>
    <mergeCell ref="W7:X7"/>
    <mergeCell ref="R9:S9"/>
    <mergeCell ref="U9:V9"/>
    <mergeCell ref="O8:Q8"/>
    <mergeCell ref="K8:N8"/>
    <mergeCell ref="A7:A8"/>
    <mergeCell ref="B7:C8"/>
    <mergeCell ref="D7:F8"/>
    <mergeCell ref="G7:Q7"/>
    <mergeCell ref="O9:Q9"/>
    <mergeCell ref="K9:N9"/>
    <mergeCell ref="I9:J9"/>
    <mergeCell ref="G9:H9"/>
    <mergeCell ref="D9:F9"/>
    <mergeCell ref="B9:C9"/>
    <mergeCell ref="R8:S8"/>
    <mergeCell ref="R7:V7"/>
    <mergeCell ref="U8:V8"/>
    <mergeCell ref="R10:S10"/>
    <mergeCell ref="B11:C11"/>
    <mergeCell ref="D11:F11"/>
    <mergeCell ref="G11:H11"/>
    <mergeCell ref="I11:J11"/>
    <mergeCell ref="K11:N11"/>
    <mergeCell ref="O11:Q11"/>
    <mergeCell ref="R11:S11"/>
    <mergeCell ref="B10:C10"/>
    <mergeCell ref="D10:F10"/>
    <mergeCell ref="G10:H10"/>
    <mergeCell ref="I10:J10"/>
    <mergeCell ref="K10:N10"/>
    <mergeCell ref="O10:Q10"/>
    <mergeCell ref="R12:S12"/>
    <mergeCell ref="B13:C13"/>
    <mergeCell ref="D13:F13"/>
    <mergeCell ref="G13:H13"/>
    <mergeCell ref="I13:J13"/>
    <mergeCell ref="K13:N13"/>
    <mergeCell ref="O13:Q13"/>
    <mergeCell ref="R13:S13"/>
    <mergeCell ref="B12:C12"/>
    <mergeCell ref="D12:F12"/>
    <mergeCell ref="G12:H12"/>
    <mergeCell ref="I12:J12"/>
    <mergeCell ref="K12:N12"/>
    <mergeCell ref="O12:Q12"/>
    <mergeCell ref="R14:S14"/>
    <mergeCell ref="B15:C15"/>
    <mergeCell ref="D15:F15"/>
    <mergeCell ref="G15:H15"/>
    <mergeCell ref="I15:J15"/>
    <mergeCell ref="K15:N15"/>
    <mergeCell ref="O15:Q15"/>
    <mergeCell ref="R15:S15"/>
    <mergeCell ref="B14:C14"/>
    <mergeCell ref="D14:F14"/>
    <mergeCell ref="G14:H14"/>
    <mergeCell ref="I14:J14"/>
    <mergeCell ref="K14:N14"/>
    <mergeCell ref="O14:Q14"/>
    <mergeCell ref="R16:S16"/>
    <mergeCell ref="B17:C17"/>
    <mergeCell ref="D17:F17"/>
    <mergeCell ref="G17:H17"/>
    <mergeCell ref="I17:J17"/>
    <mergeCell ref="K17:N17"/>
    <mergeCell ref="O17:Q17"/>
    <mergeCell ref="R17:S17"/>
    <mergeCell ref="B16:C16"/>
    <mergeCell ref="D16:F16"/>
    <mergeCell ref="G16:H16"/>
    <mergeCell ref="I16:J16"/>
    <mergeCell ref="K16:N16"/>
    <mergeCell ref="O16:Q16"/>
    <mergeCell ref="R18:S18"/>
    <mergeCell ref="B19:C19"/>
    <mergeCell ref="D19:F19"/>
    <mergeCell ref="G19:H19"/>
    <mergeCell ref="I19:J19"/>
    <mergeCell ref="K19:N19"/>
    <mergeCell ref="O19:Q19"/>
    <mergeCell ref="R19:S19"/>
    <mergeCell ref="B18:C18"/>
    <mergeCell ref="D18:F18"/>
    <mergeCell ref="G18:H18"/>
    <mergeCell ref="I18:J18"/>
    <mergeCell ref="K18:N18"/>
    <mergeCell ref="O18:Q18"/>
    <mergeCell ref="D21:F21"/>
    <mergeCell ref="G21:H21"/>
    <mergeCell ref="I21:J21"/>
    <mergeCell ref="K21:N21"/>
    <mergeCell ref="O21:Q21"/>
    <mergeCell ref="R21:S21"/>
    <mergeCell ref="B20:C20"/>
    <mergeCell ref="D20:F20"/>
    <mergeCell ref="G20:H20"/>
    <mergeCell ref="I20:J20"/>
    <mergeCell ref="K20:N20"/>
    <mergeCell ref="O20:Q20"/>
    <mergeCell ref="U10:V10"/>
    <mergeCell ref="U11:V11"/>
    <mergeCell ref="U12:V12"/>
    <mergeCell ref="U13:V13"/>
    <mergeCell ref="U14:V14"/>
    <mergeCell ref="U15:V15"/>
    <mergeCell ref="R24:S24"/>
    <mergeCell ref="B25:C25"/>
    <mergeCell ref="D25:F25"/>
    <mergeCell ref="G25:H25"/>
    <mergeCell ref="I25:J25"/>
    <mergeCell ref="K25:N25"/>
    <mergeCell ref="O25:Q25"/>
    <mergeCell ref="R25:S25"/>
    <mergeCell ref="B24:C24"/>
    <mergeCell ref="D24:F24"/>
    <mergeCell ref="G24:H24"/>
    <mergeCell ref="I24:J24"/>
    <mergeCell ref="K24:N24"/>
    <mergeCell ref="O24:Q24"/>
    <mergeCell ref="R22:S22"/>
    <mergeCell ref="B23:C23"/>
    <mergeCell ref="D23:F23"/>
    <mergeCell ref="G23:H23"/>
    <mergeCell ref="U22:V22"/>
    <mergeCell ref="U23:V23"/>
    <mergeCell ref="U24:V24"/>
    <mergeCell ref="U25:V25"/>
    <mergeCell ref="A29:X29"/>
    <mergeCell ref="A30:X30"/>
    <mergeCell ref="U16:V16"/>
    <mergeCell ref="U17:V17"/>
    <mergeCell ref="U18:V18"/>
    <mergeCell ref="U19:V19"/>
    <mergeCell ref="U20:V20"/>
    <mergeCell ref="U21:V21"/>
    <mergeCell ref="I23:J23"/>
    <mergeCell ref="K23:N23"/>
    <mergeCell ref="O23:Q23"/>
    <mergeCell ref="R23:S23"/>
    <mergeCell ref="B22:C22"/>
    <mergeCell ref="D22:F22"/>
    <mergeCell ref="G22:H22"/>
    <mergeCell ref="I22:J22"/>
    <mergeCell ref="K22:N22"/>
    <mergeCell ref="O22:Q22"/>
    <mergeCell ref="R20:S20"/>
    <mergeCell ref="B21:C2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E1A6E-29C2-4FF1-A619-90BD9AB722CF}">
  <sheetPr>
    <tabColor rgb="FF00B050"/>
  </sheetPr>
  <dimension ref="A1:B153"/>
  <sheetViews>
    <sheetView workbookViewId="0">
      <selection activeCell="B21" sqref="B1:B21"/>
    </sheetView>
  </sheetViews>
  <sheetFormatPr defaultRowHeight="15"/>
  <cols>
    <col min="1" max="1" width="189.140625" customWidth="1"/>
    <col min="2" max="2" width="78.28515625" customWidth="1"/>
  </cols>
  <sheetData>
    <row r="1" spans="1:2" ht="45">
      <c r="A1" s="103" t="s">
        <v>1058</v>
      </c>
      <c r="B1" s="117" t="s">
        <v>1182</v>
      </c>
    </row>
    <row r="2" spans="1:2" ht="15.75">
      <c r="A2" s="103" t="s">
        <v>1059</v>
      </c>
      <c r="B2" s="117" t="s">
        <v>1183</v>
      </c>
    </row>
    <row r="3" spans="1:2" ht="18.75">
      <c r="A3" s="105" t="s">
        <v>1060</v>
      </c>
      <c r="B3" s="118" t="s">
        <v>1184</v>
      </c>
    </row>
    <row r="4" spans="1:2">
      <c r="A4" s="103" t="s">
        <v>1061</v>
      </c>
      <c r="B4" s="119" t="s">
        <v>1185</v>
      </c>
    </row>
    <row r="5" spans="1:2" ht="30.75">
      <c r="A5" s="106" t="s">
        <v>1062</v>
      </c>
      <c r="B5" s="120" t="s">
        <v>1186</v>
      </c>
    </row>
    <row r="6" spans="1:2" ht="30.75">
      <c r="A6" s="104"/>
      <c r="B6" s="120" t="s">
        <v>1187</v>
      </c>
    </row>
    <row r="7" spans="1:2" ht="45.75">
      <c r="A7" s="107" t="s">
        <v>1063</v>
      </c>
      <c r="B7" s="120" t="s">
        <v>1188</v>
      </c>
    </row>
    <row r="8" spans="1:2" ht="18.75">
      <c r="A8" s="85"/>
      <c r="B8" s="118" t="s">
        <v>1189</v>
      </c>
    </row>
    <row r="9" spans="1:2" ht="30">
      <c r="A9" s="107" t="s">
        <v>1064</v>
      </c>
      <c r="B9" s="119" t="s">
        <v>1190</v>
      </c>
    </row>
    <row r="10" spans="1:2" ht="30.75">
      <c r="A10" s="108" t="s">
        <v>1065</v>
      </c>
      <c r="B10" s="120" t="s">
        <v>1191</v>
      </c>
    </row>
    <row r="11" spans="1:2" ht="45.75">
      <c r="A11" s="108" t="s">
        <v>1066</v>
      </c>
      <c r="B11" s="120" t="s">
        <v>1192</v>
      </c>
    </row>
    <row r="12" spans="1:2" ht="45.75">
      <c r="A12" s="108" t="s">
        <v>1067</v>
      </c>
      <c r="B12" s="120" t="s">
        <v>1193</v>
      </c>
    </row>
    <row r="13" spans="1:2" ht="18.75">
      <c r="A13" s="85"/>
      <c r="B13" s="118" t="s">
        <v>1194</v>
      </c>
    </row>
    <row r="14" spans="1:2">
      <c r="A14" s="107" t="s">
        <v>1068</v>
      </c>
      <c r="B14" s="117" t="s">
        <v>1195</v>
      </c>
    </row>
    <row r="15" spans="1:2" ht="15.75">
      <c r="A15" s="108" t="s">
        <v>1069</v>
      </c>
      <c r="B15" s="120" t="s">
        <v>1196</v>
      </c>
    </row>
    <row r="16" spans="1:2" ht="45.75">
      <c r="A16" s="108" t="s">
        <v>1070</v>
      </c>
      <c r="B16" s="120" t="s">
        <v>1197</v>
      </c>
    </row>
    <row r="17" spans="1:2" ht="45.75">
      <c r="A17" s="108" t="s">
        <v>1071</v>
      </c>
      <c r="B17" s="120" t="s">
        <v>1198</v>
      </c>
    </row>
    <row r="18" spans="1:2" ht="45.75">
      <c r="A18" s="108" t="s">
        <v>1072</v>
      </c>
      <c r="B18" s="120" t="s">
        <v>1199</v>
      </c>
    </row>
    <row r="19" spans="1:2" ht="18.75">
      <c r="A19" s="108" t="s">
        <v>1073</v>
      </c>
      <c r="B19" s="118" t="s">
        <v>1200</v>
      </c>
    </row>
    <row r="20" spans="1:2" ht="62.25">
      <c r="A20" s="108" t="s">
        <v>1074</v>
      </c>
      <c r="B20" s="117" t="s">
        <v>1201</v>
      </c>
    </row>
    <row r="21" spans="1:2" ht="30.75">
      <c r="A21" s="108" t="s">
        <v>1075</v>
      </c>
      <c r="B21" s="117" t="s">
        <v>1202</v>
      </c>
    </row>
    <row r="22" spans="1:2">
      <c r="A22" s="108" t="s">
        <v>1076</v>
      </c>
    </row>
    <row r="23" spans="1:2">
      <c r="A23" s="108" t="s">
        <v>1067</v>
      </c>
    </row>
    <row r="24" spans="1:2">
      <c r="A24" s="85"/>
    </row>
    <row r="25" spans="1:2" ht="15.75" thickBot="1">
      <c r="A25" s="107" t="s">
        <v>1077</v>
      </c>
    </row>
    <row r="26" spans="1:2" ht="15.75" thickBot="1">
      <c r="A26" s="109"/>
    </row>
    <row r="27" spans="1:2">
      <c r="A27" s="110" t="s">
        <v>1078</v>
      </c>
    </row>
    <row r="29" spans="1:2">
      <c r="A29" s="111"/>
    </row>
    <row r="30" spans="1:2" ht="18.75">
      <c r="A30" s="105" t="s">
        <v>1079</v>
      </c>
    </row>
    <row r="31" spans="1:2" ht="15.75">
      <c r="A31" s="103" t="s">
        <v>1080</v>
      </c>
    </row>
    <row r="32" spans="1:2" ht="16.5">
      <c r="A32" s="112" t="s">
        <v>1081</v>
      </c>
    </row>
    <row r="33" spans="1:1" ht="18.75">
      <c r="A33" s="106" t="s">
        <v>1082</v>
      </c>
    </row>
    <row r="34" spans="1:1">
      <c r="A34" s="104"/>
    </row>
    <row r="35" spans="1:1">
      <c r="A35" s="107" t="s">
        <v>1083</v>
      </c>
    </row>
    <row r="36" spans="1:1">
      <c r="A36" s="107" t="s">
        <v>1084</v>
      </c>
    </row>
    <row r="37" spans="1:1">
      <c r="A37" s="107" t="s">
        <v>1085</v>
      </c>
    </row>
    <row r="38" spans="1:1">
      <c r="A38" s="107" t="s">
        <v>1086</v>
      </c>
    </row>
    <row r="39" spans="1:1">
      <c r="A39" s="107" t="s">
        <v>1087</v>
      </c>
    </row>
    <row r="40" spans="1:1">
      <c r="A40" s="107" t="s">
        <v>1088</v>
      </c>
    </row>
    <row r="41" spans="1:1">
      <c r="A41" s="85"/>
    </row>
    <row r="42" spans="1:1">
      <c r="A42" s="113" t="s">
        <v>1089</v>
      </c>
    </row>
    <row r="43" spans="1:1">
      <c r="A43" s="114" t="s">
        <v>1090</v>
      </c>
    </row>
    <row r="44" spans="1:1">
      <c r="A44" s="114" t="s">
        <v>1091</v>
      </c>
    </row>
    <row r="45" spans="1:1">
      <c r="A45" s="114" t="s">
        <v>1092</v>
      </c>
    </row>
    <row r="46" spans="1:1">
      <c r="A46" s="85"/>
    </row>
    <row r="47" spans="1:1">
      <c r="A47" s="114" t="s">
        <v>1093</v>
      </c>
    </row>
    <row r="48" spans="1:1">
      <c r="A48" s="108" t="s">
        <v>1094</v>
      </c>
    </row>
    <row r="49" spans="1:1">
      <c r="A49" s="114" t="s">
        <v>1095</v>
      </c>
    </row>
    <row r="50" spans="1:1">
      <c r="A50" s="85"/>
    </row>
    <row r="51" spans="1:1">
      <c r="A51" s="113" t="s">
        <v>1096</v>
      </c>
    </row>
    <row r="52" spans="1:1">
      <c r="A52" s="107" t="s">
        <v>1097</v>
      </c>
    </row>
    <row r="53" spans="1:1">
      <c r="A53" s="108" t="s">
        <v>1098</v>
      </c>
    </row>
    <row r="54" spans="1:1">
      <c r="A54" s="108" t="s">
        <v>1099</v>
      </c>
    </row>
    <row r="55" spans="1:1">
      <c r="A55" s="108" t="s">
        <v>1100</v>
      </c>
    </row>
    <row r="56" spans="1:1">
      <c r="A56" s="115" t="s">
        <v>1101</v>
      </c>
    </row>
    <row r="57" spans="1:1">
      <c r="A57" s="115" t="s">
        <v>1102</v>
      </c>
    </row>
    <row r="58" spans="1:1">
      <c r="A58" s="115" t="s">
        <v>1103</v>
      </c>
    </row>
    <row r="59" spans="1:1">
      <c r="A59" s="85"/>
    </row>
    <row r="60" spans="1:1">
      <c r="A60" s="107" t="s">
        <v>1104</v>
      </c>
    </row>
    <row r="61" spans="1:1">
      <c r="A61" s="108" t="s">
        <v>1105</v>
      </c>
    </row>
    <row r="62" spans="1:1">
      <c r="A62" s="108" t="s">
        <v>1106</v>
      </c>
    </row>
    <row r="63" spans="1:1">
      <c r="A63" s="108" t="s">
        <v>1107</v>
      </c>
    </row>
    <row r="64" spans="1:1">
      <c r="A64" s="108" t="s">
        <v>1108</v>
      </c>
    </row>
    <row r="65" spans="1:1">
      <c r="A65" s="108" t="s">
        <v>1109</v>
      </c>
    </row>
    <row r="66" spans="1:1">
      <c r="A66" s="108" t="s">
        <v>1110</v>
      </c>
    </row>
    <row r="67" spans="1:1">
      <c r="A67" s="108" t="s">
        <v>1111</v>
      </c>
    </row>
    <row r="68" spans="1:1">
      <c r="A68" s="108" t="s">
        <v>1112</v>
      </c>
    </row>
    <row r="69" spans="1:1">
      <c r="A69" s="108" t="s">
        <v>1113</v>
      </c>
    </row>
    <row r="70" spans="1:1">
      <c r="A70" s="108" t="s">
        <v>1114</v>
      </c>
    </row>
    <row r="71" spans="1:1">
      <c r="A71" s="108" t="s">
        <v>1115</v>
      </c>
    </row>
    <row r="72" spans="1:1">
      <c r="A72" s="108" t="s">
        <v>1116</v>
      </c>
    </row>
    <row r="73" spans="1:1">
      <c r="A73" s="108" t="s">
        <v>1117</v>
      </c>
    </row>
    <row r="74" spans="1:1">
      <c r="A74" s="108" t="s">
        <v>1118</v>
      </c>
    </row>
    <row r="75" spans="1:1">
      <c r="A75" s="108" t="s">
        <v>1119</v>
      </c>
    </row>
    <row r="76" spans="1:1">
      <c r="A76" s="108" t="s">
        <v>1120</v>
      </c>
    </row>
    <row r="77" spans="1:1">
      <c r="A77" s="108" t="s">
        <v>1121</v>
      </c>
    </row>
    <row r="78" spans="1:1">
      <c r="A78" s="108" t="s">
        <v>1122</v>
      </c>
    </row>
    <row r="79" spans="1:1">
      <c r="A79" s="108" t="s">
        <v>1123</v>
      </c>
    </row>
    <row r="80" spans="1:1">
      <c r="A80" s="85"/>
    </row>
    <row r="81" spans="1:1">
      <c r="A81" s="113" t="s">
        <v>1124</v>
      </c>
    </row>
    <row r="82" spans="1:1">
      <c r="A82" s="108" t="s">
        <v>1125</v>
      </c>
    </row>
    <row r="83" spans="1:1">
      <c r="A83" s="107" t="s">
        <v>1126</v>
      </c>
    </row>
    <row r="84" spans="1:1">
      <c r="A84" s="108" t="s">
        <v>1098</v>
      </c>
    </row>
    <row r="85" spans="1:1">
      <c r="A85" s="108" t="s">
        <v>1127</v>
      </c>
    </row>
    <row r="86" spans="1:1">
      <c r="A86" s="115" t="s">
        <v>1128</v>
      </c>
    </row>
    <row r="87" spans="1:1">
      <c r="A87" s="115" t="s">
        <v>1129</v>
      </c>
    </row>
    <row r="88" spans="1:1">
      <c r="A88" s="115" t="s">
        <v>1130</v>
      </c>
    </row>
    <row r="89" spans="1:1">
      <c r="A89" s="115" t="s">
        <v>1131</v>
      </c>
    </row>
    <row r="90" spans="1:1">
      <c r="A90" s="115" t="s">
        <v>1132</v>
      </c>
    </row>
    <row r="91" spans="1:1">
      <c r="A91" s="108" t="s">
        <v>1133</v>
      </c>
    </row>
    <row r="92" spans="1:1">
      <c r="A92" s="85"/>
    </row>
    <row r="93" spans="1:1">
      <c r="A93" s="108" t="s">
        <v>1134</v>
      </c>
    </row>
    <row r="94" spans="1:1">
      <c r="A94" s="107" t="s">
        <v>1135</v>
      </c>
    </row>
    <row r="95" spans="1:1">
      <c r="A95" s="108" t="s">
        <v>1136</v>
      </c>
    </row>
    <row r="96" spans="1:1">
      <c r="A96" s="108" t="s">
        <v>1137</v>
      </c>
    </row>
    <row r="97" spans="1:1">
      <c r="A97" s="108" t="s">
        <v>1138</v>
      </c>
    </row>
    <row r="98" spans="1:1" ht="15.75" thickBot="1">
      <c r="A98" s="108" t="s">
        <v>1139</v>
      </c>
    </row>
    <row r="99" spans="1:1" ht="15.75" thickBot="1">
      <c r="A99" s="109"/>
    </row>
    <row r="100" spans="1:1">
      <c r="A100" s="110" t="s">
        <v>1078</v>
      </c>
    </row>
    <row r="102" spans="1:1">
      <c r="A102" s="111"/>
    </row>
    <row r="103" spans="1:1" ht="18.75">
      <c r="A103" s="105" t="s">
        <v>1140</v>
      </c>
    </row>
    <row r="104" spans="1:1" ht="16.5">
      <c r="A104" s="103" t="s">
        <v>1141</v>
      </c>
    </row>
    <row r="105" spans="1:1" ht="18.75">
      <c r="A105" s="106" t="s">
        <v>1142</v>
      </c>
    </row>
    <row r="106" spans="1:1">
      <c r="A106" s="104"/>
    </row>
    <row r="107" spans="1:1">
      <c r="A107" s="108" t="s">
        <v>1143</v>
      </c>
    </row>
    <row r="108" spans="1:1">
      <c r="A108" s="108" t="s">
        <v>1144</v>
      </c>
    </row>
    <row r="109" spans="1:1">
      <c r="A109" s="108" t="s">
        <v>1145</v>
      </c>
    </row>
    <row r="110" spans="1:1">
      <c r="A110" s="108" t="s">
        <v>1146</v>
      </c>
    </row>
    <row r="111" spans="1:1">
      <c r="A111" s="108" t="s">
        <v>1147</v>
      </c>
    </row>
    <row r="112" spans="1:1">
      <c r="A112" s="108" t="s">
        <v>1148</v>
      </c>
    </row>
    <row r="113" spans="1:1">
      <c r="A113" s="108" t="s">
        <v>1149</v>
      </c>
    </row>
    <row r="114" spans="1:1">
      <c r="A114" s="108" t="s">
        <v>1150</v>
      </c>
    </row>
    <row r="115" spans="1:1">
      <c r="A115" s="108" t="s">
        <v>1151</v>
      </c>
    </row>
    <row r="116" spans="1:1">
      <c r="A116" s="108" t="s">
        <v>1152</v>
      </c>
    </row>
    <row r="117" spans="1:1">
      <c r="A117" s="85"/>
    </row>
    <row r="118" spans="1:1">
      <c r="A118" s="108" t="s">
        <v>1153</v>
      </c>
    </row>
    <row r="119" spans="1:1">
      <c r="A119" s="108" t="s">
        <v>1154</v>
      </c>
    </row>
    <row r="120" spans="1:1">
      <c r="A120" s="108" t="s">
        <v>1155</v>
      </c>
    </row>
    <row r="121" spans="1:1">
      <c r="A121" s="108" t="s">
        <v>1156</v>
      </c>
    </row>
    <row r="122" spans="1:1">
      <c r="A122" s="108" t="s">
        <v>1157</v>
      </c>
    </row>
    <row r="123" spans="1:1">
      <c r="A123" s="85"/>
    </row>
    <row r="124" spans="1:1">
      <c r="A124" s="108" t="s">
        <v>1158</v>
      </c>
    </row>
    <row r="125" spans="1:1">
      <c r="A125" s="108" t="s">
        <v>1159</v>
      </c>
    </row>
    <row r="126" spans="1:1">
      <c r="A126" s="108" t="s">
        <v>1160</v>
      </c>
    </row>
    <row r="127" spans="1:1">
      <c r="A127" s="108" t="s">
        <v>1111</v>
      </c>
    </row>
    <row r="128" spans="1:1">
      <c r="A128" s="108" t="s">
        <v>1161</v>
      </c>
    </row>
    <row r="129" spans="1:1">
      <c r="A129" s="85"/>
    </row>
    <row r="130" spans="1:1">
      <c r="A130" s="108" t="s">
        <v>1162</v>
      </c>
    </row>
    <row r="131" spans="1:1">
      <c r="A131" s="108" t="s">
        <v>1163</v>
      </c>
    </row>
    <row r="132" spans="1:1">
      <c r="A132" s="108" t="s">
        <v>1164</v>
      </c>
    </row>
    <row r="133" spans="1:1">
      <c r="A133" s="85"/>
    </row>
    <row r="134" spans="1:1">
      <c r="A134" s="108" t="s">
        <v>1165</v>
      </c>
    </row>
    <row r="135" spans="1:1">
      <c r="A135" s="108" t="s">
        <v>1166</v>
      </c>
    </row>
    <row r="136" spans="1:1">
      <c r="A136" s="108" t="s">
        <v>1167</v>
      </c>
    </row>
    <row r="137" spans="1:1">
      <c r="A137" s="108" t="s">
        <v>1168</v>
      </c>
    </row>
    <row r="138" spans="1:1">
      <c r="A138" s="108" t="s">
        <v>1169</v>
      </c>
    </row>
    <row r="139" spans="1:1">
      <c r="A139" s="108" t="s">
        <v>1170</v>
      </c>
    </row>
    <row r="140" spans="1:1">
      <c r="A140" s="108" t="s">
        <v>1171</v>
      </c>
    </row>
    <row r="141" spans="1:1">
      <c r="A141" s="108" t="s">
        <v>1172</v>
      </c>
    </row>
    <row r="142" spans="1:1">
      <c r="A142" s="85"/>
    </row>
    <row r="143" spans="1:1">
      <c r="A143" s="108" t="s">
        <v>1173</v>
      </c>
    </row>
    <row r="144" spans="1:1">
      <c r="A144" s="108" t="s">
        <v>1174</v>
      </c>
    </row>
    <row r="145" spans="1:1">
      <c r="A145" s="108" t="s">
        <v>1175</v>
      </c>
    </row>
    <row r="146" spans="1:1">
      <c r="A146" s="108" t="s">
        <v>1176</v>
      </c>
    </row>
    <row r="147" spans="1:1" ht="15.75" thickBot="1">
      <c r="A147" s="108" t="s">
        <v>1177</v>
      </c>
    </row>
    <row r="148" spans="1:1" ht="15.75" thickBot="1">
      <c r="A148" s="109"/>
    </row>
    <row r="149" spans="1:1">
      <c r="A149" s="110" t="s">
        <v>1078</v>
      </c>
    </row>
    <row r="150" spans="1:1" ht="18.75">
      <c r="A150" s="105" t="s">
        <v>1178</v>
      </c>
    </row>
    <row r="151" spans="1:1" ht="15.75">
      <c r="A151" s="116" t="s">
        <v>1179</v>
      </c>
    </row>
    <row r="152" spans="1:1" ht="16.5">
      <c r="A152" s="116" t="s">
        <v>1180</v>
      </c>
    </row>
    <row r="153" spans="1:1" ht="15.75">
      <c r="A153" s="116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Логика КИП actual</vt:lpstr>
      <vt:lpstr>Чек-лист исправлений actual</vt:lpstr>
      <vt:lpstr>Все нормы config</vt:lpstr>
      <vt:lpstr>Нормы по марке config</vt:lpstr>
      <vt:lpstr>Тип по гос.№config</vt:lpstr>
      <vt:lpstr>Заказчик config</vt:lpstr>
      <vt:lpstr>Самосвалы объёмы config</vt:lpstr>
      <vt:lpstr>Google Sheets API config</vt:lpstr>
      <vt:lpstr>Интерфейс самосвалы done</vt:lpstr>
      <vt:lpstr>Своя навигация future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Княжев Александр Николаевич</dc:creator>
  <cp:lastModifiedBy>user_ogtr1</cp:lastModifiedBy>
  <cp:lastPrinted>2026-02-12T10:36:55Z</cp:lastPrinted>
  <dcterms:created xsi:type="dcterms:W3CDTF">2026-02-11T03:25:51Z</dcterms:created>
  <dcterms:modified xsi:type="dcterms:W3CDTF">2026-03-03T03:44:44Z</dcterms:modified>
</cp:coreProperties>
</file>