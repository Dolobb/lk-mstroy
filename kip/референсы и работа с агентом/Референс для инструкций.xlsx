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r.knyazhev\Downloads\"/>
    </mc:Choice>
  </mc:AlternateContent>
  <xr:revisionPtr revIDLastSave="0" documentId="8_{B7EC3543-57A5-4A7C-B651-636883FB6D3F}" xr6:coauthVersionLast="47" xr6:coauthVersionMax="47" xr10:uidLastSave="{00000000-0000-0000-0000-000000000000}"/>
  <bookViews>
    <workbookView xWindow="-120" yWindow="-120" windowWidth="29040" windowHeight="15840" xr2:uid="{786A056F-3E33-4CEE-B1E0-9849E8DB1037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2" l="1"/>
  <c r="R4" i="2" s="1"/>
  <c r="S4" i="2" s="1"/>
  <c r="O4" i="2"/>
  <c r="P4" i="2" s="1"/>
  <c r="Q4" i="2" s="1"/>
  <c r="K4" i="2"/>
  <c r="N4" i="2" l="1"/>
</calcChain>
</file>

<file path=xl/sharedStrings.xml><?xml version="1.0" encoding="utf-8"?>
<sst xmlns="http://schemas.openxmlformats.org/spreadsheetml/2006/main" count="32" uniqueCount="32">
  <si>
    <t xml:space="preserve">!Работа под нагрузкой,%
</t>
  </si>
  <si>
    <t>Расход топлива по факту, л</t>
  </si>
  <si>
    <t>Время стоянки</t>
  </si>
  <si>
    <t>Время работы двигателя</t>
  </si>
  <si>
    <t>Дата</t>
  </si>
  <si>
    <t>Смена</t>
  </si>
  <si>
    <r>
      <rPr>
        <b/>
        <sz val="10"/>
        <color theme="0"/>
        <rFont val="Times New Roman"/>
        <family val="1"/>
        <charset val="204"/>
      </rPr>
      <t>Рег. №</t>
    </r>
  </si>
  <si>
    <r>
      <rPr>
        <b/>
        <sz val="10"/>
        <color theme="0"/>
        <rFont val="Times New Roman"/>
        <family val="1"/>
        <charset val="204"/>
      </rPr>
      <t>Марка</t>
    </r>
  </si>
  <si>
    <t>Организация</t>
  </si>
  <si>
    <t>СМУ</t>
  </si>
  <si>
    <t>Фактический расход, л/час</t>
  </si>
  <si>
    <t>Время максимальной работы двигателя в смену</t>
  </si>
  <si>
    <t>Норма расхода, л/час</t>
  </si>
  <si>
    <t>Расход при максимальной работе двигателя в смену</t>
  </si>
  <si>
    <t>!Факт расхода * Норма расхода, л/час</t>
  </si>
  <si>
    <t>!Работа на ХХ,%</t>
  </si>
  <si>
    <t>!Простой за время нахождения на СМУ, %</t>
  </si>
  <si>
    <t>1 смена</t>
  </si>
  <si>
    <t>Е557РМ186</t>
  </si>
  <si>
    <t>Автокран KC-45717-2P на ш. Урал</t>
  </si>
  <si>
    <t>ТФ "Мостоотряд-29" филиал АО "Мостострой-11"</t>
  </si>
  <si>
    <t>СМУ г. Сургут База ТФ "Мостоотряд-29"</t>
  </si>
  <si>
    <t>!КИП, % Время работы ДВС</t>
  </si>
  <si>
    <t>Дата / смена</t>
  </si>
  <si>
    <t>Данные ТИС</t>
  </si>
  <si>
    <t>Расчёт на основании нахождения ТС в зоне объекта</t>
  </si>
  <si>
    <t>Расчёт загрузки ТС в смену</t>
  </si>
  <si>
    <t>Менее 49%</t>
  </si>
  <si>
    <t>От 49% до 60%</t>
  </si>
  <si>
    <t>Более 61%</t>
  </si>
  <si>
    <t>Процент от времени работы двигателя (+ процент нагрузки также закрашивается) за время нахождения на объекте в течении смены, максимально 11 часов работы двигателя за 12 часов нахождения на объекте)</t>
  </si>
  <si>
    <t>Суммарное время пребывания на СМУ за смену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</si>
</sst>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7" formatCode="[h]:mm:ss;@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0"/>
      <name val="Times New Roman"/>
      <family val="1"/>
      <charset val="204"/>
    </font>
    <font>
      <b/>
      <sz val="9"/>
      <color theme="0"/>
      <name val="Times New Roman"/>
      <family val="2"/>
      <charset val="204"/>
    </font>
    <font>
      <b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2"/>
    </font>
    <font>
      <b/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5" borderId="4" xfId="0" applyFont="1" applyFill="1" applyBorder="1" applyAlignment="1">
      <alignment horizontal="center" vertical="center" wrapText="1"/>
    </xf>
    <xf numFmtId="0" fontId="0" fillId="7" borderId="6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9" fontId="0" fillId="0" borderId="12" xfId="1" applyFont="1" applyBorder="1" applyAlignment="1" applyProtection="1">
      <alignment horizontal="center" vertical="center"/>
      <protection hidden="1"/>
    </xf>
    <xf numFmtId="9" fontId="0" fillId="0" borderId="13" xfId="1" applyFont="1" applyBorder="1" applyAlignment="1" applyProtection="1">
      <alignment horizontal="center" vertical="center"/>
      <protection hidden="1"/>
    </xf>
    <xf numFmtId="9" fontId="0" fillId="0" borderId="14" xfId="1" applyFont="1" applyBorder="1" applyAlignment="1" applyProtection="1">
      <alignment horizontal="center" vertical="center"/>
      <protection hidden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2" fontId="5" fillId="0" borderId="18" xfId="0" applyNumberFormat="1" applyFont="1" applyBorder="1" applyAlignment="1" applyProtection="1">
      <alignment horizontal="center" vertical="center"/>
      <protection hidden="1"/>
    </xf>
    <xf numFmtId="167" fontId="6" fillId="4" borderId="19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1" fontId="0" fillId="0" borderId="19" xfId="0" applyNumberFormat="1" applyBorder="1" applyAlignment="1" applyProtection="1">
      <alignment horizontal="center" vertical="center"/>
      <protection hidden="1"/>
    </xf>
    <xf numFmtId="1" fontId="0" fillId="0" borderId="20" xfId="0" applyNumberFormat="1" applyBorder="1" applyAlignment="1" applyProtection="1">
      <alignment horizontal="center" vertical="center"/>
      <protection hidden="1"/>
    </xf>
    <xf numFmtId="0" fontId="0" fillId="0" borderId="3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2" fontId="3" fillId="2" borderId="17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vertical="center" wrapText="1"/>
    </xf>
    <xf numFmtId="164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4" fontId="3" fillId="3" borderId="16" xfId="0" applyNumberFormat="1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0" fontId="4" fillId="7" borderId="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9" fontId="10" fillId="0" borderId="23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9" fontId="8" fillId="0" borderId="25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9" fontId="9" fillId="0" borderId="2" xfId="0" applyNumberFormat="1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36"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2" tint="-0.24994659260841701"/>
      </font>
      <fill>
        <patternFill>
          <bgColor theme="2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2" tint="-0.24994659260841701"/>
      </font>
      <fill>
        <patternFill>
          <bgColor theme="2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2" tint="-0.24994659260841701"/>
      </font>
      <fill>
        <patternFill>
          <bgColor theme="2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2" tint="-0.24994659260841701"/>
      </font>
      <fill>
        <patternFill>
          <bgColor theme="2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2" tint="-0.24994659260841701"/>
      </font>
      <fill>
        <patternFill>
          <bgColor theme="2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2" tint="-0.24994659260841701"/>
      </font>
      <fill>
        <patternFill>
          <bgColor theme="2" tint="-0.24994659260841701"/>
        </patternFill>
      </fill>
    </dxf>
    <dxf>
      <font>
        <b/>
        <i val="0"/>
      </font>
      <fill>
        <patternFill>
          <bgColor rgb="FFFF6969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8F8F"/>
        </patternFill>
      </fill>
    </dxf>
    <dxf>
      <font>
        <b/>
        <i val="0"/>
      </font>
      <fill>
        <patternFill>
          <bgColor rgb="FFFFD6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1151-0576-4742-8D8D-3000276897C3}">
  <dimension ref="A1:S8"/>
  <sheetViews>
    <sheetView tabSelected="1" workbookViewId="0">
      <selection activeCell="D18" sqref="D18"/>
    </sheetView>
  </sheetViews>
  <sheetFormatPr defaultRowHeight="15" x14ac:dyDescent="0.25"/>
  <cols>
    <col min="1" max="1" width="15.5703125" customWidth="1"/>
    <col min="3" max="3" width="10.85546875" bestFit="1" customWidth="1"/>
    <col min="4" max="4" width="31.5703125" bestFit="1" customWidth="1"/>
    <col min="5" max="5" width="28.42578125" customWidth="1"/>
    <col min="6" max="6" width="21.140625" customWidth="1"/>
  </cols>
  <sheetData>
    <row r="1" spans="1:19" ht="15.75" thickBot="1" x14ac:dyDescent="0.3"/>
    <row r="2" spans="1:19" s="4" customFormat="1" ht="33.75" customHeight="1" thickBot="1" x14ac:dyDescent="0.3">
      <c r="A2" s="26" t="s">
        <v>23</v>
      </c>
      <c r="B2" s="10"/>
      <c r="C2" s="26" t="s">
        <v>24</v>
      </c>
      <c r="D2" s="8"/>
      <c r="E2" s="8"/>
      <c r="F2" s="8"/>
      <c r="G2" s="8"/>
      <c r="H2" s="8"/>
      <c r="I2" s="8"/>
      <c r="J2" s="10"/>
      <c r="K2" s="15" t="s">
        <v>25</v>
      </c>
      <c r="L2" s="16"/>
      <c r="M2" s="16"/>
      <c r="N2" s="16"/>
      <c r="O2" s="17"/>
      <c r="P2" s="7" t="s">
        <v>26</v>
      </c>
      <c r="Q2" s="8"/>
      <c r="R2" s="9"/>
      <c r="S2" s="10"/>
    </row>
    <row r="3" spans="1:19" ht="89.25" x14ac:dyDescent="0.25">
      <c r="A3" s="34" t="s">
        <v>4</v>
      </c>
      <c r="B3" s="35" t="s">
        <v>5</v>
      </c>
      <c r="C3" s="27" t="s">
        <v>6</v>
      </c>
      <c r="D3" s="1" t="s">
        <v>7</v>
      </c>
      <c r="E3" s="1" t="s">
        <v>8</v>
      </c>
      <c r="F3" s="1" t="s">
        <v>9</v>
      </c>
      <c r="G3" s="1" t="s">
        <v>31</v>
      </c>
      <c r="H3" s="1" t="s">
        <v>3</v>
      </c>
      <c r="I3" s="1" t="s">
        <v>2</v>
      </c>
      <c r="J3" s="28" t="s">
        <v>1</v>
      </c>
      <c r="K3" s="18" t="s">
        <v>10</v>
      </c>
      <c r="L3" s="2" t="s">
        <v>11</v>
      </c>
      <c r="M3" s="3" t="s">
        <v>12</v>
      </c>
      <c r="N3" s="3" t="s">
        <v>13</v>
      </c>
      <c r="O3" s="19" t="s">
        <v>14</v>
      </c>
      <c r="P3" s="38" t="s">
        <v>0</v>
      </c>
      <c r="Q3" s="5" t="s">
        <v>15</v>
      </c>
      <c r="R3" s="38" t="s">
        <v>22</v>
      </c>
      <c r="S3" s="11" t="s">
        <v>16</v>
      </c>
    </row>
    <row r="4" spans="1:19" s="4" customFormat="1" ht="36" customHeight="1" thickBot="1" x14ac:dyDescent="0.3">
      <c r="A4" s="36">
        <v>45992</v>
      </c>
      <c r="B4" s="37" t="s">
        <v>17</v>
      </c>
      <c r="C4" s="29" t="s">
        <v>18</v>
      </c>
      <c r="D4" s="30" t="s">
        <v>19</v>
      </c>
      <c r="E4" s="31" t="s">
        <v>20</v>
      </c>
      <c r="F4" s="31" t="s">
        <v>21</v>
      </c>
      <c r="G4" s="32">
        <v>0.5</v>
      </c>
      <c r="H4" s="32">
        <v>7.9456018518518523E-2</v>
      </c>
      <c r="I4" s="32">
        <v>0.48284722222222221</v>
      </c>
      <c r="J4" s="33">
        <v>4.25372314453125</v>
      </c>
      <c r="K4" s="20">
        <f>IF(J4&lt;1,0,IF(H4=0,0,J4/H4/24))</f>
        <v>2.2306486992443553</v>
      </c>
      <c r="L4" s="21">
        <f>G4/24*22</f>
        <v>0.45833333333333331</v>
      </c>
      <c r="M4" s="22">
        <v>8.8000000000000007</v>
      </c>
      <c r="N4" s="23">
        <f t="shared" ref="N4" si="0">IF(M4*L4*24=0,1,M4*L4*24)</f>
        <v>96.8</v>
      </c>
      <c r="O4" s="24">
        <f>H4*24*M4</f>
        <v>16.781111111111112</v>
      </c>
      <c r="P4" s="12">
        <f>IF(J4=0,FALSE,IF(O4=0,FALSE,IF(J4/O4&gt;1,1,J4/O4)))</f>
        <v>0.2534828067323131</v>
      </c>
      <c r="Q4" s="13">
        <f>IF(J4=0,FALSE,IF(1-P4=0,0,1-P4))</f>
        <v>0.74651719326768684</v>
      </c>
      <c r="R4" s="12">
        <f>IF(H4/L4&gt;1,1,H4/L4)</f>
        <v>0.17335858585858588</v>
      </c>
      <c r="S4" s="14">
        <f t="shared" ref="S4" si="1">1-R4</f>
        <v>0.82664141414141412</v>
      </c>
    </row>
    <row r="5" spans="1:19" ht="15.75" thickBot="1" x14ac:dyDescent="0.3">
      <c r="P5" s="6"/>
      <c r="R5" s="6"/>
    </row>
    <row r="6" spans="1:19" ht="15" customHeight="1" x14ac:dyDescent="0.25">
      <c r="A6" s="47" t="s">
        <v>27</v>
      </c>
      <c r="B6" s="48">
        <v>0.49</v>
      </c>
      <c r="C6" s="49" t="s">
        <v>30</v>
      </c>
      <c r="D6" s="50"/>
      <c r="E6" s="50"/>
      <c r="F6" s="50"/>
      <c r="G6" s="50"/>
      <c r="H6" s="50"/>
      <c r="I6" s="50"/>
      <c r="J6" s="51"/>
    </row>
    <row r="7" spans="1:19" x14ac:dyDescent="0.25">
      <c r="A7" s="25" t="s">
        <v>28</v>
      </c>
      <c r="B7" s="52">
        <v>0.55000000000000004</v>
      </c>
      <c r="C7" s="39"/>
      <c r="D7" s="46"/>
      <c r="E7" s="46"/>
      <c r="F7" s="46"/>
      <c r="G7" s="46"/>
      <c r="H7" s="46"/>
      <c r="I7" s="46"/>
      <c r="J7" s="40"/>
    </row>
    <row r="8" spans="1:19" x14ac:dyDescent="0.25">
      <c r="A8" s="44" t="s">
        <v>29</v>
      </c>
      <c r="B8" s="45">
        <v>0.78</v>
      </c>
      <c r="C8" s="41"/>
      <c r="D8" s="42"/>
      <c r="E8" s="42"/>
      <c r="F8" s="42"/>
      <c r="G8" s="42"/>
      <c r="H8" s="42"/>
      <c r="I8" s="42"/>
      <c r="J8" s="43"/>
    </row>
  </sheetData>
  <protectedRanges>
    <protectedRange sqref="C3:F3 A3:B4" name="Диапазон1"/>
    <protectedRange sqref="G3:J3" name="Диапазон1_1"/>
  </protectedRanges>
  <mergeCells count="5">
    <mergeCell ref="C6:J8"/>
    <mergeCell ref="A2:B2"/>
    <mergeCell ref="C2:J2"/>
    <mergeCell ref="K2:O2"/>
    <mergeCell ref="P2:S2"/>
  </mergeCells>
  <conditionalFormatting sqref="J4">
    <cfRule type="cellIs" dxfId="35" priority="14" operator="greaterThan">
      <formula>225</formula>
    </cfRule>
    <cfRule type="cellIs" dxfId="34" priority="15" operator="lessThan">
      <formula>0</formula>
    </cfRule>
  </conditionalFormatting>
  <conditionalFormatting sqref="P4:Q4 S4">
    <cfRule type="cellIs" dxfId="30" priority="16" operator="lessThan">
      <formula>0</formula>
    </cfRule>
  </conditionalFormatting>
  <conditionalFormatting sqref="A6:A8">
    <cfRule type="cellIs" dxfId="19" priority="1" operator="equal">
      <formula>5</formula>
    </cfRule>
    <cfRule type="cellIs" dxfId="18" priority="2" operator="equal">
      <formula>4</formula>
    </cfRule>
    <cfRule type="cellIs" dxfId="17" priority="3" operator="equal">
      <formula>3</formula>
    </cfRule>
    <cfRule type="cellIs" dxfId="16" priority="4" operator="equal">
      <formula>2</formula>
    </cfRule>
    <cfRule type="cellIs" dxfId="15" priority="5" operator="equal">
      <formula>1</formula>
    </cfRule>
  </conditionalFormatting>
  <conditionalFormatting sqref="C6 B6:B8">
    <cfRule type="cellIs" dxfId="14" priority="6" operator="equal">
      <formula>5</formula>
    </cfRule>
    <cfRule type="cellIs" dxfId="13" priority="7" operator="equal">
      <formula>4</formula>
    </cfRule>
    <cfRule type="cellIs" dxfId="12" priority="8" operator="equal">
      <formula>3</formula>
    </cfRule>
    <cfRule type="cellIs" dxfId="11" priority="9" operator="equal">
      <formula>2</formula>
    </cfRule>
    <cfRule type="cellIs" dxfId="10" priority="10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Княжев Александр Николаевич</dc:creator>
  <cp:lastModifiedBy>Княжев Александр Николаевич</cp:lastModifiedBy>
  <dcterms:created xsi:type="dcterms:W3CDTF">2026-02-09T07:51:46Z</dcterms:created>
  <dcterms:modified xsi:type="dcterms:W3CDTF">2026-02-09T08:14:40Z</dcterms:modified>
</cp:coreProperties>
</file>